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as FvsV" sheetId="1" r:id="rId4"/>
    <sheet state="visible" name="Nuevo Fvs V" sheetId="2" r:id="rId5"/>
    <sheet state="visible" name="Impulso" sheetId="3" r:id="rId6"/>
    <sheet state="visible" name="Escalon" sheetId="4" r:id="rId7"/>
    <sheet state="visible" name="Barrido" sheetId="5" r:id="rId8"/>
    <sheet state="visible" name="caracterizacion" sheetId="6" r:id="rId9"/>
    <sheet state="visible" name="Coeficiente de fricción" sheetId="7" r:id="rId10"/>
  </sheets>
  <definedNames/>
  <calcPr/>
</workbook>
</file>

<file path=xl/sharedStrings.xml><?xml version="1.0" encoding="utf-8"?>
<sst xmlns="http://schemas.openxmlformats.org/spreadsheetml/2006/main" count="466" uniqueCount="376">
  <si>
    <t>Tabla de pesos y masas</t>
  </si>
  <si>
    <t>Tabla de distancias</t>
  </si>
  <si>
    <t>Elemento</t>
  </si>
  <si>
    <t>Peso (N)</t>
  </si>
  <si>
    <t>Masa (g)</t>
  </si>
  <si>
    <t>Masa(kg)</t>
  </si>
  <si>
    <t>Tramo</t>
  </si>
  <si>
    <t>Distancia (cm )</t>
  </si>
  <si>
    <t>Distancia (m )</t>
  </si>
  <si>
    <t xml:space="preserve">Contrapeso </t>
  </si>
  <si>
    <t xml:space="preserve">contrapeso - base </t>
  </si>
  <si>
    <t>Barra</t>
  </si>
  <si>
    <t xml:space="preserve">centro de masa barra -base </t>
  </si>
  <si>
    <t xml:space="preserve">Motor </t>
  </si>
  <si>
    <t>Motor -base</t>
  </si>
  <si>
    <t>Tabla de Posiciones y Fuerzas según ángulo</t>
  </si>
  <si>
    <t>Voltaje (V)</t>
  </si>
  <si>
    <t>Ángulo (°)</t>
  </si>
  <si>
    <t>Ángulo (rad)</t>
  </si>
  <si>
    <t>Fuerza del motor</t>
  </si>
  <si>
    <t>Ingresa a zona muerta</t>
  </si>
  <si>
    <t>Dirección: Horario</t>
  </si>
  <si>
    <t>Velocidad% | PWM | Ángulo° | Ángulo Relativo°</t>
  </si>
  <si>
    <t>Velocidad%</t>
  </si>
  <si>
    <t>PWM</t>
  </si>
  <si>
    <t>Ángulo°</t>
  </si>
  <si>
    <t>Ángulo Relativo°</t>
  </si>
  <si>
    <t>0.0% | 0 | 272.20° | 0.00°</t>
  </si>
  <si>
    <t>0.0% | 0 | 266.57° | -5.63°</t>
  </si>
  <si>
    <t>0.0%</t>
  </si>
  <si>
    <t>272.20°</t>
  </si>
  <si>
    <t>0.00°</t>
  </si>
  <si>
    <t>0.5% | 1 | 272.20° | 0.00°</t>
  </si>
  <si>
    <t>0.5% | 1 | 273.78° | 1.58°</t>
  </si>
  <si>
    <t>0.5%</t>
  </si>
  <si>
    <t>1.0% | 2 | 272.20° | 0.00°</t>
  </si>
  <si>
    <t>1.0% | 2 | 273.08° | 0.88°</t>
  </si>
  <si>
    <t>1.0%</t>
  </si>
  <si>
    <t>1.5% | 3 | 272.20° | 0.00°</t>
  </si>
  <si>
    <t>1.5% | 3 | 273.16° | 0.97°</t>
  </si>
  <si>
    <t>1.5%</t>
  </si>
  <si>
    <t>2.0% | 5 | 272.20° | 0.00°</t>
  </si>
  <si>
    <t>2.0% | 5 | 273.08° | 0.88°</t>
  </si>
  <si>
    <t>2.0%</t>
  </si>
  <si>
    <t>2.5% | 6 | 272.20° | 0.00°</t>
  </si>
  <si>
    <t>2.5% | 6 | 273.08° | 0.88°</t>
  </si>
  <si>
    <t>2.5%</t>
  </si>
  <si>
    <t>3.0% | 7 | 272.20° | 0.00°</t>
  </si>
  <si>
    <t>3.0% | 7 | 273.08° | 0.88°</t>
  </si>
  <si>
    <t>3.0%</t>
  </si>
  <si>
    <t>Velocidad</t>
  </si>
  <si>
    <t>Angulo</t>
  </si>
  <si>
    <t>AnguloRelativo</t>
  </si>
  <si>
    <t xml:space="preserve">AnguloRelativo rad </t>
  </si>
  <si>
    <t xml:space="preserve">Fuerza </t>
  </si>
  <si>
    <t>3.5% | 8 | 272.20° | 0.00°</t>
  </si>
  <si>
    <t>3.5% | 8 | 273.08° | 0.88°</t>
  </si>
  <si>
    <t>3.5%</t>
  </si>
  <si>
    <t>4.0% | 10 | 272.20° | 0.00°</t>
  </si>
  <si>
    <t>4.0% | 10 | 273.16° | 0.97°</t>
  </si>
  <si>
    <t>4.0%</t>
  </si>
  <si>
    <t>4.5% | 11 | 272.20° | 0.00°</t>
  </si>
  <si>
    <t>4.5% | 11 | 273.16° | 0.97°</t>
  </si>
  <si>
    <t>4.5%</t>
  </si>
  <si>
    <t>5.0% | 12 | 272.20° | 0.00°</t>
  </si>
  <si>
    <t>5.0% | 12 | 273.08° | 0.88°</t>
  </si>
  <si>
    <t>5.0%</t>
  </si>
  <si>
    <t>5.5% | 14 | 272.20° | 0.00°</t>
  </si>
  <si>
    <t>5.5% | 14 | 273.16° | 0.97°</t>
  </si>
  <si>
    <t>5.5%</t>
  </si>
  <si>
    <t>6.0% | 15 | 272.20° | 0.00°</t>
  </si>
  <si>
    <t>6.0% | 15 | 273.08° | 0.88°</t>
  </si>
  <si>
    <t>6.0%</t>
  </si>
  <si>
    <t>6.5% | 16 | 272.20° | 0.00°</t>
  </si>
  <si>
    <t>6.5% | 16 | 273.08° | 0.88°</t>
  </si>
  <si>
    <t>6.5%</t>
  </si>
  <si>
    <t>7.0% | 17 | 272.20° | 0.00°</t>
  </si>
  <si>
    <t>7.0% | 17 | 273.16° | 0.97°</t>
  </si>
  <si>
    <t>7.0%</t>
  </si>
  <si>
    <t>7.5% | 19 | 272.20° | 0.00°</t>
  </si>
  <si>
    <t>7.5% | 19 | 269.03° | -3.16°</t>
  </si>
  <si>
    <t>7.5%</t>
  </si>
  <si>
    <t>8.0% | 20 | 272.20° | 0.00°</t>
  </si>
  <si>
    <t>8.0% | 20 | 271.67° | -0.53°</t>
  </si>
  <si>
    <t>8.0%</t>
  </si>
  <si>
    <t>8.5% | 21 | 272.20° | 0.00°</t>
  </si>
  <si>
    <t>8.5% | 21 | 271.85° | -0.35°</t>
  </si>
  <si>
    <t>8.5%</t>
  </si>
  <si>
    <t>9.0% | 22 | 272.20° | 0.00°</t>
  </si>
  <si>
    <t>9.0% | 22 | 272.29° | 0.09°</t>
  </si>
  <si>
    <t>9.0%</t>
  </si>
  <si>
    <t>9.5% | 24 | 272.20° | 0.00°</t>
  </si>
  <si>
    <t>9.5% | 24 | 271.85° | -0.35°</t>
  </si>
  <si>
    <t>9.5%</t>
  </si>
  <si>
    <t>10.0% | 25 | 272.20° | 0.00°</t>
  </si>
  <si>
    <t>10.0% | 25 | 270.53° | -1.67°</t>
  </si>
  <si>
    <t>10.0%</t>
  </si>
  <si>
    <t>10.5% | 26 | 272.55° | 0.35°</t>
  </si>
  <si>
    <t>10.5% | 26 | 269.91° | -2.29°</t>
  </si>
  <si>
    <t>10.5%</t>
  </si>
  <si>
    <t>272.55°</t>
  </si>
  <si>
    <t>0.35°</t>
  </si>
  <si>
    <t>11.0% | 28 | 272.46° | 0.26°</t>
  </si>
  <si>
    <t>11.0% | 28 | 269.91° | -2.29°</t>
  </si>
  <si>
    <t>11.0%</t>
  </si>
  <si>
    <t>272.46°</t>
  </si>
  <si>
    <t>0.26°</t>
  </si>
  <si>
    <t>11.5% | 29 | 272.64° | 0.44°</t>
  </si>
  <si>
    <t>11.5% | 29 | 269.91° | -2.29°</t>
  </si>
  <si>
    <t>11.5%</t>
  </si>
  <si>
    <t>272.64°</t>
  </si>
  <si>
    <t>0.44°</t>
  </si>
  <si>
    <t>12.0% | 30 | 273.08° | 0.88°</t>
  </si>
  <si>
    <t>12.0% | 30 | 269.91° | -2.29°</t>
  </si>
  <si>
    <t>12.0%</t>
  </si>
  <si>
    <t>273.08°</t>
  </si>
  <si>
    <t>0.88°</t>
  </si>
  <si>
    <t>12.5% | 31 | 273.43° | 1.23°</t>
  </si>
  <si>
    <t>12.5% | 31 | 269.91° | -2.29°</t>
  </si>
  <si>
    <t>12.5%</t>
  </si>
  <si>
    <t>273.43°</t>
  </si>
  <si>
    <t>1.23°</t>
  </si>
  <si>
    <t>13.0% | 33 | 275.10° | 2.90°</t>
  </si>
  <si>
    <t>13.0% | 33 | 269.91° | -2.29°</t>
  </si>
  <si>
    <t>13.0%</t>
  </si>
  <si>
    <t>275.10°</t>
  </si>
  <si>
    <t>2.90°</t>
  </si>
  <si>
    <t>13.5% | 34 | 276.68° | 4.48°</t>
  </si>
  <si>
    <t>13.5% | 34 | 262.53° | -9.67°</t>
  </si>
  <si>
    <t>13.5%</t>
  </si>
  <si>
    <t>276.68°</t>
  </si>
  <si>
    <t>4.48°</t>
  </si>
  <si>
    <t>14.0% | 35 | 276.68° | 4.48°</t>
  </si>
  <si>
    <t>14.0% | 35 | 261.74° | -10.46°</t>
  </si>
  <si>
    <t>14.0%</t>
  </si>
  <si>
    <t>14.5% | 36 | 276.68° | 4.48°</t>
  </si>
  <si>
    <t>14.5% | 36 | 261.30° | -10.90°</t>
  </si>
  <si>
    <t>14.5%</t>
  </si>
  <si>
    <t>15.0% | 38 | 276.68° | 4.48°</t>
  </si>
  <si>
    <t>15.0% | 38 | 260.68° | -11.51°</t>
  </si>
  <si>
    <t>15.0%</t>
  </si>
  <si>
    <t>15.5% | 39 | 276.68° | 4.48°</t>
  </si>
  <si>
    <t>15.5% | 39 | 259.45° | -12.74°</t>
  </si>
  <si>
    <t>15.5%</t>
  </si>
  <si>
    <t>16.0% | 40 | 276.68° | 4.48°</t>
  </si>
  <si>
    <t>16.0% | 40 | 259.45° | -12.74°</t>
  </si>
  <si>
    <t>16.0%</t>
  </si>
  <si>
    <t>16.5% | 42 | 276.68° | 4.48°</t>
  </si>
  <si>
    <t>16.5% | 42 | 259.37° | -12.83°</t>
  </si>
  <si>
    <t>16.5%</t>
  </si>
  <si>
    <t>17.0% | 43 | 276.77° | 4.57°</t>
  </si>
  <si>
    <t>17.0% | 43 | 259.45° | -12.74°</t>
  </si>
  <si>
    <t>17.0%</t>
  </si>
  <si>
    <t>276.77°</t>
  </si>
  <si>
    <t>4.57°</t>
  </si>
  <si>
    <t>17.5% | 44 | 276.77° | 4.57°</t>
  </si>
  <si>
    <t>17.5% | 44 | 259.45° | -12.74°</t>
  </si>
  <si>
    <t>17.5%</t>
  </si>
  <si>
    <t>18.0% | 45 | 288.02° | 15.82°</t>
  </si>
  <si>
    <t>18.0% | 45 | 259.45° | -12.74°</t>
  </si>
  <si>
    <t>18.0%</t>
  </si>
  <si>
    <t>288.02°</t>
  </si>
  <si>
    <t>15.82°</t>
  </si>
  <si>
    <t>18.5% | 47 | 288.19° | 16.00°</t>
  </si>
  <si>
    <t>18.5% | 47 | 254.71° | -17.49°</t>
  </si>
  <si>
    <t>18.5%</t>
  </si>
  <si>
    <t>288.19°</t>
  </si>
  <si>
    <t>16.00°</t>
  </si>
  <si>
    <t>19.0% | 48 | 288.90° | 16.70°</t>
  </si>
  <si>
    <t>19.0% | 48 | 252.60° | -19.60°</t>
  </si>
  <si>
    <t>19.0%</t>
  </si>
  <si>
    <t>288.90°</t>
  </si>
  <si>
    <t>16.70°</t>
  </si>
  <si>
    <t>19.5% | 49 | 289.16° | 16.96°</t>
  </si>
  <si>
    <t>19.5% | 49 | 251.37° | -20.83°</t>
  </si>
  <si>
    <t>19.5%</t>
  </si>
  <si>
    <t>289.16°</t>
  </si>
  <si>
    <t>16.96°</t>
  </si>
  <si>
    <t>20.0% | 51 | 289.69° | 17.49°</t>
  </si>
  <si>
    <t>20.0% | 51 | 250.58° | -21.62°</t>
  </si>
  <si>
    <t>20.0%</t>
  </si>
  <si>
    <t>289.69°</t>
  </si>
  <si>
    <t>17.49°</t>
  </si>
  <si>
    <t>20.5% | 52 | 292.50° | 20.30°</t>
  </si>
  <si>
    <t>20.5% | 52 | 248.29° | -23.91°</t>
  </si>
  <si>
    <t>20.5%</t>
  </si>
  <si>
    <t>292.50°</t>
  </si>
  <si>
    <t>20.30°</t>
  </si>
  <si>
    <t>21.0% | 53 | 293.47° | 21.27°</t>
  </si>
  <si>
    <t>21.0% | 53 | 247.59° | -24.61°</t>
  </si>
  <si>
    <t>21.0%</t>
  </si>
  <si>
    <t>293.47°</t>
  </si>
  <si>
    <t>21.27°</t>
  </si>
  <si>
    <t>21.5% | 54 | 294.26° | 22.06°</t>
  </si>
  <si>
    <t>21.5% | 54 | 244.86° | -27.33°</t>
  </si>
  <si>
    <t>21.5%</t>
  </si>
  <si>
    <t>294.26°</t>
  </si>
  <si>
    <t>22.06°</t>
  </si>
  <si>
    <t>22.0% | 56 | 294.79° | 22.59°</t>
  </si>
  <si>
    <t>22.0% | 56 | 244.60° | -27.60°</t>
  </si>
  <si>
    <t>22.0%</t>
  </si>
  <si>
    <t>294.79°</t>
  </si>
  <si>
    <t>22.59°</t>
  </si>
  <si>
    <t>22.5% | 57 | 297.16° | 24.96°</t>
  </si>
  <si>
    <t>22.5% | 57 | 242.84° | -29.36°</t>
  </si>
  <si>
    <t>22.5%</t>
  </si>
  <si>
    <t>297.16°</t>
  </si>
  <si>
    <t>24.96°</t>
  </si>
  <si>
    <t>23.0% | 58 | 297.25° | 25.05°</t>
  </si>
  <si>
    <t>23.0% | 58 | 242.23° | -29.97°</t>
  </si>
  <si>
    <t>23.0%</t>
  </si>
  <si>
    <t>297.25°</t>
  </si>
  <si>
    <t>25.05°</t>
  </si>
  <si>
    <t>23.5% | 59 | 297.33° | 25.14°</t>
  </si>
  <si>
    <t>23.5% | 59 | 241.79° | -30.41°</t>
  </si>
  <si>
    <t>23.5%</t>
  </si>
  <si>
    <t>297.33°</t>
  </si>
  <si>
    <t>25.14°</t>
  </si>
  <si>
    <t>24.0% | 61 | 297.33° | 25.14°</t>
  </si>
  <si>
    <t>24.0% | 61 | 240.03° | -32.17°</t>
  </si>
  <si>
    <t>24.0%</t>
  </si>
  <si>
    <t>24.5% | 62 | 297.33° | 25.14°</t>
  </si>
  <si>
    <t>24.5% | 62 | 240.21° | -31.99°</t>
  </si>
  <si>
    <t>24.5%</t>
  </si>
  <si>
    <t>25.0% | 63 | 297.33° | 25.14°</t>
  </si>
  <si>
    <t>25.0% | 63 | 239.85° | -32.34°</t>
  </si>
  <si>
    <t>25.0%</t>
  </si>
  <si>
    <t>25.5% | 65 | 297.42° | 25.22°</t>
  </si>
  <si>
    <t>25.5% | 65 | 240.47° | -31.73°</t>
  </si>
  <si>
    <t>25.5%</t>
  </si>
  <si>
    <t>297.42°</t>
  </si>
  <si>
    <t>25.22°</t>
  </si>
  <si>
    <t>26.0% | 66 | 302.26° | 30.06°</t>
  </si>
  <si>
    <t>26.0% | 66 | 239.68° | -32.52°</t>
  </si>
  <si>
    <t>26.0%</t>
  </si>
  <si>
    <t>302.26°</t>
  </si>
  <si>
    <t>30.06°</t>
  </si>
  <si>
    <t>26.5% | 67 | 302.43° | 30.23°</t>
  </si>
  <si>
    <t>26.5% | 67 | 239.68° | -32.52°</t>
  </si>
  <si>
    <t>26.5%</t>
  </si>
  <si>
    <t>302.43°</t>
  </si>
  <si>
    <t>30.23°</t>
  </si>
  <si>
    <t>27.0% | 68 | 302.87° | 30.67°</t>
  </si>
  <si>
    <t>27.0% | 68 | 232.12° | -40.08°</t>
  </si>
  <si>
    <t>27.0%</t>
  </si>
  <si>
    <t>302.87°</t>
  </si>
  <si>
    <t>30.67°</t>
  </si>
  <si>
    <t>27.5% | 70 | 304.89° | 32.70°</t>
  </si>
  <si>
    <t>27.5% | 70 | 231.77° | -40.43°</t>
  </si>
  <si>
    <t>27.5%</t>
  </si>
  <si>
    <t>304.89°</t>
  </si>
  <si>
    <t>32.70°</t>
  </si>
  <si>
    <t>28.0% | 71 | 309.64° | 37.44°</t>
  </si>
  <si>
    <t>28.0% | 71 | 231.24° | -40.96°</t>
  </si>
  <si>
    <t>28.0%</t>
  </si>
  <si>
    <t>309.64°</t>
  </si>
  <si>
    <t>37.44°</t>
  </si>
  <si>
    <t>28.5% | 72 | 309.90° | 37.71°</t>
  </si>
  <si>
    <t>28.5% | 72 | 230.71° | -41.48°</t>
  </si>
  <si>
    <t>28.5%</t>
  </si>
  <si>
    <t>309.90°</t>
  </si>
  <si>
    <t>37.71°</t>
  </si>
  <si>
    <t>29.0% | 73 | 310.52° | 38.32°</t>
  </si>
  <si>
    <t>29.0% | 73 | 228.96° | -43.24°</t>
  </si>
  <si>
    <t>29.0%</t>
  </si>
  <si>
    <t>310.52°</t>
  </si>
  <si>
    <t>38.32°</t>
  </si>
  <si>
    <t>29.5% | 75 | 313.07° | 40.87°</t>
  </si>
  <si>
    <t>29.5% | 75 | 227.37° | -44.82°</t>
  </si>
  <si>
    <t>29.5%</t>
  </si>
  <si>
    <t>313.07°</t>
  </si>
  <si>
    <t>40.87°</t>
  </si>
  <si>
    <t>30.0% | 76 | 315.26° | 43.07°</t>
  </si>
  <si>
    <t>30.0% | 76 | 226.67° | -45.53°</t>
  </si>
  <si>
    <t>30.0%</t>
  </si>
  <si>
    <t>315.26°</t>
  </si>
  <si>
    <t>43.07°</t>
  </si>
  <si>
    <t>30.5% | 77 | 315.35° | 43.15°</t>
  </si>
  <si>
    <t>30.5% | 77 | 225.00° | -47.20°</t>
  </si>
  <si>
    <t>30.5%</t>
  </si>
  <si>
    <t>315.35°</t>
  </si>
  <si>
    <t>43.15°</t>
  </si>
  <si>
    <t>31.0% | 79 | 317.11° | 44.91°</t>
  </si>
  <si>
    <t>31.0% | 79 | 225.79° | -46.41°</t>
  </si>
  <si>
    <t>31.0%</t>
  </si>
  <si>
    <t>317.11°</t>
  </si>
  <si>
    <t>44.91°</t>
  </si>
  <si>
    <t>31.5% | 80 | 319.75° | 47.55°</t>
  </si>
  <si>
    <t>31.5% | 80 | 223.51° | -48.69°</t>
  </si>
  <si>
    <t>31.5%</t>
  </si>
  <si>
    <t>319.75°</t>
  </si>
  <si>
    <t>47.55°</t>
  </si>
  <si>
    <t>32.0% | 81 | 320.63° | 48.43°</t>
  </si>
  <si>
    <t>32.0% | 81 | 221.40° | -50.80°</t>
  </si>
  <si>
    <t>32.0%</t>
  </si>
  <si>
    <t>320.63°</t>
  </si>
  <si>
    <t>48.43°</t>
  </si>
  <si>
    <t>32.5% | 82 | 321.68° | 49.48°</t>
  </si>
  <si>
    <t>32.5% | 82 | 221.13° | -51.06°</t>
  </si>
  <si>
    <t>32.5%</t>
  </si>
  <si>
    <t>321.68°</t>
  </si>
  <si>
    <t>49.48°</t>
  </si>
  <si>
    <t>33.0% | 84 | 324.40° | 52.21°</t>
  </si>
  <si>
    <t>33.0% | 84 | 216.04° | -56.16°</t>
  </si>
  <si>
    <t>33.0%</t>
  </si>
  <si>
    <t>324.40°</t>
  </si>
  <si>
    <t>52.21°</t>
  </si>
  <si>
    <t>33.5% | 85 | 327.83° | 55.63°</t>
  </si>
  <si>
    <t>33.5% | 85 | 214.80° | -57.39°</t>
  </si>
  <si>
    <t>33.5%</t>
  </si>
  <si>
    <t>327.83°</t>
  </si>
  <si>
    <t>55.63°</t>
  </si>
  <si>
    <t>34.0% | 86 | 327.92° | 55.72°</t>
  </si>
  <si>
    <t>34.0% | 86 | 212.52° | -59.68°</t>
  </si>
  <si>
    <t>34.0%</t>
  </si>
  <si>
    <t>327.92°</t>
  </si>
  <si>
    <t>55.72°</t>
  </si>
  <si>
    <t>34.5% | 87 | 328.80° | 56.60°</t>
  </si>
  <si>
    <t>34.5% | 87 | 209.71° | -62.49°</t>
  </si>
  <si>
    <t>34.5%</t>
  </si>
  <si>
    <t>328.80°</t>
  </si>
  <si>
    <t>56.60°</t>
  </si>
  <si>
    <t>35.0% | 89 | 331.44° | 59.24°</t>
  </si>
  <si>
    <t>35.0% | 89 | 209.71° | -62.49°</t>
  </si>
  <si>
    <t>35.0%</t>
  </si>
  <si>
    <t>331.44°</t>
  </si>
  <si>
    <t>59.24°</t>
  </si>
  <si>
    <t>35.5% | 90 | 335.04° | 62.84°</t>
  </si>
  <si>
    <t>35.5% | 90 | 212.70° | -59.50°</t>
  </si>
  <si>
    <t>35.5%</t>
  </si>
  <si>
    <t>335.04°</t>
  </si>
  <si>
    <t>62.84°</t>
  </si>
  <si>
    <t>36.0% | 91 | 337.24° | 65.04°</t>
  </si>
  <si>
    <t>36.0% | 91 | 211.73° | -60.47°</t>
  </si>
  <si>
    <t>36.0%</t>
  </si>
  <si>
    <t>337.24°</t>
  </si>
  <si>
    <t>65.04°</t>
  </si>
  <si>
    <t>36.5% | 93 | 337.94° | 65.74°</t>
  </si>
  <si>
    <t>36.5% | 93 | 209.36° | -62.84°</t>
  </si>
  <si>
    <t>36.5%</t>
  </si>
  <si>
    <t>337.94°</t>
  </si>
  <si>
    <t>65.74°</t>
  </si>
  <si>
    <t>37.0% | 94 | 340.66° | 68.47°</t>
  </si>
  <si>
    <t>37.0% | 94 | 205.75° | -66.45°</t>
  </si>
  <si>
    <t>37.0%</t>
  </si>
  <si>
    <t>340.66°</t>
  </si>
  <si>
    <t>68.47°</t>
  </si>
  <si>
    <t>37.5% | 95 | 343.39° | 71.19°</t>
  </si>
  <si>
    <t>37.5% | 95 | 202.59° | -69.61°</t>
  </si>
  <si>
    <t>37.5%</t>
  </si>
  <si>
    <t>343.39°</t>
  </si>
  <si>
    <t>71.19°</t>
  </si>
  <si>
    <t>Motor detenido (fin sentido horario)</t>
  </si>
  <si>
    <t>38.0%</t>
  </si>
  <si>
    <t>353.50º</t>
  </si>
  <si>
    <t>81.30º</t>
  </si>
  <si>
    <t>Velocidad,PWM,AnguloRelativo</t>
  </si>
  <si>
    <t>15.0</t>
  </si>
  <si>
    <t>16.0</t>
  </si>
  <si>
    <t>17.0</t>
  </si>
  <si>
    <t>18.0</t>
  </si>
  <si>
    <t>19.0</t>
  </si>
  <si>
    <t>20.0</t>
  </si>
  <si>
    <t>21.0</t>
  </si>
  <si>
    <t>22.0</t>
  </si>
  <si>
    <t>23.0</t>
  </si>
  <si>
    <t>24.0</t>
  </si>
  <si>
    <t>25.0</t>
  </si>
  <si>
    <t>26.0</t>
  </si>
  <si>
    <t>27.0</t>
  </si>
  <si>
    <t>28.0</t>
  </si>
  <si>
    <t>29.0</t>
  </si>
  <si>
    <t>30.0</t>
  </si>
  <si>
    <t>31.0</t>
  </si>
  <si>
    <t>32.0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</si>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</sst>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color rgb="FF4E5B61"/>
      <name val="Monospace"/>
    </font>
    <font>
      <color rgb="FF4E5B6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2" fontId="1" numFmtId="0" xfId="0" applyAlignment="1" applyBorder="1" applyFont="1">
      <alignment horizontal="center" readingOrder="0"/>
    </xf>
    <xf borderId="6" fillId="2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 readingOrder="0"/>
    </xf>
    <xf borderId="9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10" fillId="0" fontId="3" numFmtId="0" xfId="0" applyAlignment="1" applyBorder="1" applyFont="1">
      <alignment horizontal="center" readingOrder="0"/>
    </xf>
    <xf borderId="11" fillId="0" fontId="2" numFmtId="0" xfId="0" applyBorder="1" applyFont="1"/>
    <xf borderId="12" fillId="0" fontId="2" numFmtId="0" xfId="0" applyBorder="1" applyFont="1"/>
    <xf borderId="0" fillId="3" fontId="4" numFmtId="0" xfId="0" applyAlignment="1" applyFill="1" applyFont="1">
      <alignment readingOrder="0" shrinkToFit="0" wrapText="0"/>
    </xf>
    <xf borderId="0" fillId="3" fontId="4" numFmtId="0" xfId="0" applyAlignment="1" applyFont="1">
      <alignment shrinkToFit="0" wrapText="0"/>
    </xf>
    <xf borderId="0" fillId="0" fontId="3" numFmtId="0" xfId="0" applyAlignment="1" applyFont="1">
      <alignment readingOrder="0"/>
    </xf>
    <xf borderId="0" fillId="3" fontId="5" numFmtId="0" xfId="0" applyAlignment="1" applyFont="1">
      <alignment readingOrder="0" shrinkToFit="0" wrapText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  <a:r>
              <a:rPr b="0">
                <a:solidFill>
                  <a:srgbClr val="000000"/>
                </a:solidFill>
                <a:latin typeface="serif"/>
              </a:rPr>
              <a:t>Posición del Motor según Tensión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'Gráficas FvsV'!$C$9</c:f>
            </c:strRef>
          </c:tx>
          <c:spPr>
            <a:ln cmpd="sng">
              <a:solidFill>
                <a:srgbClr val="1155CC"/>
              </a:solidFill>
            </a:ln>
          </c:spPr>
          <c:marker>
            <c:symbol val="circle"/>
            <c:size val="7"/>
            <c:spPr>
              <a:solidFill>
                <a:srgbClr val="1155CC"/>
              </a:solidFill>
              <a:ln cmpd="sng">
                <a:solidFill>
                  <a:srgbClr val="1155CC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cat>
            <c:strRef>
              <c:f>'Gráficas FvsV'!$A$10:$A$17</c:f>
            </c:strRef>
          </c:cat>
          <c:val>
            <c:numRef>
              <c:f>'Gráficas FvsV'!$C$10:$C$17</c:f>
              <c:numCache/>
            </c:numRef>
          </c:val>
          <c:smooth val="0"/>
        </c:ser>
        <c:axId val="137997399"/>
        <c:axId val="1662265430"/>
      </c:lineChart>
      <c:catAx>
        <c:axId val="137997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ans-serif"/>
                  </a:defRPr>
                </a:pPr>
                <a:r>
                  <a:rPr b="0">
                    <a:solidFill>
                      <a:srgbClr val="000000"/>
                    </a:solidFill>
                    <a:latin typeface="sans-serif"/>
                  </a:rPr>
                  <a:t>Voltaje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ans-serif"/>
              </a:defRPr>
            </a:pPr>
          </a:p>
        </c:txPr>
        <c:crossAx val="1662265430"/>
      </c:catAx>
      <c:valAx>
        <c:axId val="16622654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ans-serif"/>
                  </a:defRPr>
                </a:pPr>
                <a:r>
                  <a:rPr b="0">
                    <a:solidFill>
                      <a:srgbClr val="000000"/>
                    </a:solidFill>
                    <a:latin typeface="sans-serif"/>
                  </a:rPr>
                  <a:t>Ángulo (rad)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ans-serif"/>
              </a:defRPr>
            </a:pPr>
          </a:p>
        </c:txPr>
        <c:crossAx val="13799739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serif"/>
              </a:defRPr>
            </a:pPr>
            <a:r>
              <a:rPr b="0">
                <a:solidFill>
                  <a:schemeClr val="dk1"/>
                </a:solidFill>
                <a:latin typeface="serif"/>
              </a:rPr>
              <a:t>Fuerza del motor según Tensión (V)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'Gráficas FvsV'!$D$9</c:f>
            </c:strRef>
          </c:tx>
          <c:spPr>
            <a:ln cmpd="sng">
              <a:solidFill>
                <a:srgbClr val="4285F4">
                  <a:alpha val="100000"/>
                </a:srgbClr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4285F4">
                  <a:alpha val="100000"/>
                </a:srgbClr>
              </a:solidFill>
              <a:ln cmpd="sng">
                <a:solidFill>
                  <a:srgbClr val="4285F4">
                    <a:alpha val="100000"/>
                  </a:srgbClr>
                </a:solidFill>
              </a:ln>
            </c:spPr>
          </c:marker>
          <c:cat>
            <c:strRef>
              <c:f>'Gráficas FvsV'!$A$10:$A$17</c:f>
            </c:strRef>
          </c:cat>
          <c:val>
            <c:numRef>
              <c:f>'Gráficas FvsV'!$D$10:$D$17</c:f>
              <c:numCache/>
            </c:numRef>
          </c:val>
          <c:smooth val="0"/>
        </c:ser>
        <c:axId val="974752602"/>
        <c:axId val="71263168"/>
      </c:lineChart>
      <c:catAx>
        <c:axId val="9747526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Voltaje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263168"/>
      </c:catAx>
      <c:valAx>
        <c:axId val="712631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Fuerza del motor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47526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Fuerza vs PWM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'Nuevo Fvs V'!$V$10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cat>
            <c:strRef>
              <c:f>'Nuevo Fvs V'!$R$11:$R$86</c:f>
            </c:strRef>
          </c:cat>
          <c:val>
            <c:numRef>
              <c:f>'Nuevo Fvs V'!$V$11:$V$86</c:f>
              <c:numCache/>
            </c:numRef>
          </c:val>
          <c:smooth val="0"/>
        </c:ser>
        <c:axId val="1739016151"/>
        <c:axId val="888058455"/>
      </c:lineChart>
      <c:catAx>
        <c:axId val="1739016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PWM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8058455"/>
      </c:catAx>
      <c:valAx>
        <c:axId val="8880584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Fuerza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90161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5</xdr:row>
      <xdr:rowOff>133350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933450</xdr:colOff>
      <xdr:row>18</xdr:row>
      <xdr:rowOff>180975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257175</xdr:colOff>
      <xdr:row>9</xdr:row>
      <xdr:rowOff>133350</xdr:rowOff>
    </xdr:from>
    <xdr:ext cx="3581400" cy="22193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277350" cy="29908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4876800" cy="44196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9.38"/>
    <col customWidth="1" min="3" max="3" width="14.75"/>
    <col customWidth="1" min="4" max="4" width="14.5"/>
    <col customWidth="1" min="6" max="6" width="22.13"/>
  </cols>
  <sheetData>
    <row r="1">
      <c r="A1" s="1" t="s">
        <v>0</v>
      </c>
      <c r="B1" s="2"/>
      <c r="C1" s="2"/>
      <c r="D1" s="3"/>
      <c r="F1" s="1" t="s">
        <v>1</v>
      </c>
      <c r="G1" s="2"/>
      <c r="H1" s="3"/>
    </row>
    <row r="2">
      <c r="A2" s="4" t="s">
        <v>2</v>
      </c>
      <c r="B2" s="5" t="s">
        <v>3</v>
      </c>
      <c r="C2" s="5" t="s">
        <v>4</v>
      </c>
      <c r="D2" s="6" t="s">
        <v>5</v>
      </c>
      <c r="F2" s="4" t="s">
        <v>6</v>
      </c>
      <c r="G2" s="5" t="s">
        <v>7</v>
      </c>
      <c r="H2" s="6" t="s">
        <v>8</v>
      </c>
    </row>
    <row r="3">
      <c r="A3" s="7" t="s">
        <v>9</v>
      </c>
      <c r="B3" s="8">
        <f t="shared" ref="B3:B5" si="1">D3*9.81</f>
        <v>0.179523</v>
      </c>
      <c r="C3" s="8">
        <v>18.3</v>
      </c>
      <c r="D3" s="9">
        <f t="shared" ref="D3:D5" si="2">C3/1000</f>
        <v>0.0183</v>
      </c>
      <c r="F3" s="7" t="s">
        <v>10</v>
      </c>
      <c r="G3" s="8">
        <v>5.0</v>
      </c>
      <c r="H3" s="9">
        <f t="shared" ref="H3:H5" si="3">G3*0.01</f>
        <v>0.05</v>
      </c>
    </row>
    <row r="4">
      <c r="A4" s="7" t="s">
        <v>11</v>
      </c>
      <c r="B4" s="8">
        <f t="shared" si="1"/>
        <v>0.066708</v>
      </c>
      <c r="C4" s="8">
        <v>6.8</v>
      </c>
      <c r="D4" s="9">
        <f t="shared" si="2"/>
        <v>0.0068</v>
      </c>
      <c r="F4" s="7" t="s">
        <v>12</v>
      </c>
      <c r="G4" s="8">
        <v>5.0</v>
      </c>
      <c r="H4" s="9">
        <f t="shared" si="3"/>
        <v>0.05</v>
      </c>
    </row>
    <row r="5">
      <c r="A5" s="10" t="s">
        <v>13</v>
      </c>
      <c r="B5" s="11">
        <f t="shared" si="1"/>
        <v>0.085347</v>
      </c>
      <c r="C5" s="11">
        <v>8.7</v>
      </c>
      <c r="D5" s="12">
        <f t="shared" si="2"/>
        <v>0.0087</v>
      </c>
      <c r="F5" s="10" t="s">
        <v>14</v>
      </c>
      <c r="G5" s="11">
        <v>15.0</v>
      </c>
      <c r="H5" s="12">
        <f t="shared" si="3"/>
        <v>0.15</v>
      </c>
    </row>
    <row r="8">
      <c r="A8" s="1" t="s">
        <v>15</v>
      </c>
      <c r="B8" s="2"/>
      <c r="C8" s="2"/>
      <c r="D8" s="3"/>
    </row>
    <row r="9">
      <c r="A9" s="4" t="s">
        <v>16</v>
      </c>
      <c r="B9" s="5" t="s">
        <v>17</v>
      </c>
      <c r="C9" s="5" t="s">
        <v>18</v>
      </c>
      <c r="D9" s="6" t="s">
        <v>19</v>
      </c>
    </row>
    <row r="10">
      <c r="A10" s="7">
        <v>2.0</v>
      </c>
      <c r="B10" s="8">
        <v>6.0</v>
      </c>
      <c r="C10" s="13">
        <f t="shared" ref="C10:C17" si="4">RADIANS(B10)</f>
        <v>0.1047197551</v>
      </c>
      <c r="D10" s="9">
        <f t="shared" ref="D10:D17" si="5">-(($B$3*$H$3-$B$4*$H$4-$B$5*$H$5)*SIN(C10))/$H$5</f>
        <v>0.004990397893</v>
      </c>
    </row>
    <row r="11">
      <c r="A11" s="14">
        <f>A10+0.5</f>
        <v>2.5</v>
      </c>
      <c r="B11" s="8">
        <v>17.0</v>
      </c>
      <c r="C11" s="13">
        <f t="shared" si="4"/>
        <v>0.2967059728</v>
      </c>
      <c r="D11" s="9">
        <f t="shared" si="5"/>
        <v>0.01395840993</v>
      </c>
    </row>
    <row r="12">
      <c r="A12" s="7">
        <v>3.0</v>
      </c>
      <c r="B12" s="8">
        <v>23.0</v>
      </c>
      <c r="C12" s="13">
        <f t="shared" si="4"/>
        <v>0.401425728</v>
      </c>
      <c r="D12" s="9">
        <f t="shared" si="5"/>
        <v>0.01865428554</v>
      </c>
    </row>
    <row r="13">
      <c r="A13" s="7">
        <v>3.5</v>
      </c>
      <c r="B13" s="8">
        <v>30.0</v>
      </c>
      <c r="C13" s="13">
        <f t="shared" si="4"/>
        <v>0.5235987756</v>
      </c>
      <c r="D13" s="9">
        <f t="shared" si="5"/>
        <v>0.023871</v>
      </c>
    </row>
    <row r="14">
      <c r="A14" s="7">
        <v>4.0</v>
      </c>
      <c r="B14" s="8">
        <v>47.0</v>
      </c>
      <c r="C14" s="13">
        <f t="shared" si="4"/>
        <v>0.8203047484</v>
      </c>
      <c r="D14" s="9">
        <f t="shared" si="5"/>
        <v>0.03491628842</v>
      </c>
    </row>
    <row r="15">
      <c r="A15" s="7">
        <v>4.5</v>
      </c>
      <c r="B15" s="8">
        <v>70.0</v>
      </c>
      <c r="C15" s="13">
        <f t="shared" si="4"/>
        <v>1.221730476</v>
      </c>
      <c r="D15" s="9">
        <f t="shared" si="5"/>
        <v>0.0448628051</v>
      </c>
    </row>
    <row r="16">
      <c r="A16" s="7">
        <v>4.7</v>
      </c>
      <c r="B16" s="8">
        <v>80.0</v>
      </c>
      <c r="C16" s="13">
        <f t="shared" si="4"/>
        <v>1.396263402</v>
      </c>
      <c r="D16" s="9">
        <f t="shared" si="5"/>
        <v>0.04701669174</v>
      </c>
    </row>
    <row r="17">
      <c r="A17" s="7">
        <v>4.9</v>
      </c>
      <c r="B17" s="8">
        <v>94.0</v>
      </c>
      <c r="C17" s="13">
        <f t="shared" si="4"/>
        <v>1.640609497</v>
      </c>
      <c r="D17" s="9">
        <f t="shared" si="5"/>
        <v>0.04762570289</v>
      </c>
    </row>
    <row r="18">
      <c r="A18" s="10">
        <v>5.0</v>
      </c>
      <c r="B18" s="15" t="s">
        <v>20</v>
      </c>
      <c r="C18" s="16"/>
      <c r="D18" s="17"/>
    </row>
  </sheetData>
  <mergeCells count="4">
    <mergeCell ref="A1:D1"/>
    <mergeCell ref="F1:H1"/>
    <mergeCell ref="A8:D8"/>
    <mergeCell ref="B18:D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1" max="21" width="20.38"/>
    <col customWidth="1" min="22" max="22" width="21.88"/>
  </cols>
  <sheetData>
    <row r="1">
      <c r="A1" s="18" t="s">
        <v>21</v>
      </c>
      <c r="F1" s="19"/>
    </row>
    <row r="2">
      <c r="A2" s="18" t="s">
        <v>22</v>
      </c>
      <c r="F2" s="18" t="s">
        <v>22</v>
      </c>
      <c r="L2" s="20" t="s">
        <v>23</v>
      </c>
      <c r="M2" s="20" t="s">
        <v>24</v>
      </c>
      <c r="N2" s="20" t="s">
        <v>25</v>
      </c>
      <c r="O2" s="20" t="s">
        <v>26</v>
      </c>
      <c r="Q2" s="1" t="s">
        <v>0</v>
      </c>
      <c r="R2" s="2"/>
      <c r="S2" s="2"/>
      <c r="T2" s="3"/>
      <c r="V2" s="1" t="s">
        <v>1</v>
      </c>
      <c r="W2" s="2"/>
      <c r="X2" s="3"/>
    </row>
    <row r="3">
      <c r="A3" s="21" t="s">
        <v>27</v>
      </c>
      <c r="F3" s="18" t="s">
        <v>28</v>
      </c>
      <c r="L3" s="20" t="s">
        <v>29</v>
      </c>
      <c r="M3" s="20">
        <v>0.0</v>
      </c>
      <c r="N3" s="20" t="s">
        <v>30</v>
      </c>
      <c r="O3" s="20" t="s">
        <v>31</v>
      </c>
      <c r="Q3" s="4" t="s">
        <v>2</v>
      </c>
      <c r="R3" s="5" t="s">
        <v>3</v>
      </c>
      <c r="S3" s="5" t="s">
        <v>4</v>
      </c>
      <c r="T3" s="6" t="s">
        <v>5</v>
      </c>
      <c r="V3" s="4" t="s">
        <v>6</v>
      </c>
      <c r="W3" s="5" t="s">
        <v>7</v>
      </c>
      <c r="X3" s="6" t="s">
        <v>8</v>
      </c>
    </row>
    <row r="4">
      <c r="A4" s="18" t="s">
        <v>32</v>
      </c>
      <c r="F4" s="18" t="s">
        <v>33</v>
      </c>
      <c r="L4" s="20" t="s">
        <v>34</v>
      </c>
      <c r="M4" s="20">
        <v>1.0</v>
      </c>
      <c r="N4" s="20" t="s">
        <v>30</v>
      </c>
      <c r="O4" s="20" t="s">
        <v>31</v>
      </c>
      <c r="Q4" s="7" t="s">
        <v>9</v>
      </c>
      <c r="R4" s="8">
        <f t="shared" ref="R4:R6" si="1">T4*9.81</f>
        <v>0.179523</v>
      </c>
      <c r="S4" s="8">
        <v>18.3</v>
      </c>
      <c r="T4" s="9">
        <f t="shared" ref="T4:T6" si="2">S4/1000</f>
        <v>0.0183</v>
      </c>
      <c r="V4" s="7" t="s">
        <v>10</v>
      </c>
      <c r="W4" s="8">
        <v>5.0</v>
      </c>
      <c r="X4" s="9">
        <f t="shared" ref="X4:X6" si="3">W4*0.01</f>
        <v>0.05</v>
      </c>
    </row>
    <row r="5">
      <c r="A5" s="18" t="s">
        <v>35</v>
      </c>
      <c r="F5" s="18" t="s">
        <v>36</v>
      </c>
      <c r="L5" s="20" t="s">
        <v>37</v>
      </c>
      <c r="M5" s="20">
        <v>2.0</v>
      </c>
      <c r="N5" s="20" t="s">
        <v>30</v>
      </c>
      <c r="O5" s="20" t="s">
        <v>31</v>
      </c>
      <c r="Q5" s="7" t="s">
        <v>11</v>
      </c>
      <c r="R5" s="8">
        <f t="shared" si="1"/>
        <v>0.066708</v>
      </c>
      <c r="S5" s="8">
        <v>6.8</v>
      </c>
      <c r="T5" s="9">
        <f t="shared" si="2"/>
        <v>0.0068</v>
      </c>
      <c r="V5" s="7" t="s">
        <v>12</v>
      </c>
      <c r="W5" s="8">
        <v>5.0</v>
      </c>
      <c r="X5" s="9">
        <f t="shared" si="3"/>
        <v>0.05</v>
      </c>
    </row>
    <row r="6">
      <c r="A6" s="18" t="s">
        <v>38</v>
      </c>
      <c r="F6" s="18" t="s">
        <v>39</v>
      </c>
      <c r="L6" s="20" t="s">
        <v>40</v>
      </c>
      <c r="M6" s="20">
        <v>3.0</v>
      </c>
      <c r="N6" s="20" t="s">
        <v>30</v>
      </c>
      <c r="O6" s="20" t="s">
        <v>31</v>
      </c>
      <c r="Q6" s="10" t="s">
        <v>13</v>
      </c>
      <c r="R6" s="11">
        <f t="shared" si="1"/>
        <v>0.085347</v>
      </c>
      <c r="S6" s="11">
        <v>8.7</v>
      </c>
      <c r="T6" s="12">
        <f t="shared" si="2"/>
        <v>0.0087</v>
      </c>
      <c r="V6" s="10" t="s">
        <v>14</v>
      </c>
      <c r="W6" s="11">
        <v>15.0</v>
      </c>
      <c r="X6" s="12">
        <f t="shared" si="3"/>
        <v>0.15</v>
      </c>
    </row>
    <row r="7">
      <c r="A7" s="18" t="s">
        <v>41</v>
      </c>
      <c r="F7" s="18" t="s">
        <v>42</v>
      </c>
      <c r="L7" s="20" t="s">
        <v>43</v>
      </c>
      <c r="M7" s="20">
        <v>5.0</v>
      </c>
      <c r="N7" s="20" t="s">
        <v>30</v>
      </c>
      <c r="O7" s="20" t="s">
        <v>31</v>
      </c>
    </row>
    <row r="8">
      <c r="A8" s="18" t="s">
        <v>44</v>
      </c>
      <c r="F8" s="18" t="s">
        <v>45</v>
      </c>
      <c r="L8" s="20" t="s">
        <v>46</v>
      </c>
      <c r="M8" s="20">
        <v>6.0</v>
      </c>
      <c r="N8" s="20" t="s">
        <v>30</v>
      </c>
      <c r="O8" s="20" t="s">
        <v>31</v>
      </c>
    </row>
    <row r="9">
      <c r="A9" s="18" t="s">
        <v>47</v>
      </c>
      <c r="F9" s="18" t="s">
        <v>48</v>
      </c>
      <c r="L9" s="20" t="s">
        <v>49</v>
      </c>
      <c r="M9" s="20">
        <v>7.0</v>
      </c>
      <c r="N9" s="20" t="s">
        <v>30</v>
      </c>
      <c r="O9" s="20" t="s">
        <v>31</v>
      </c>
      <c r="Q9" s="20" t="s">
        <v>50</v>
      </c>
      <c r="R9" s="20" t="s">
        <v>24</v>
      </c>
      <c r="S9" s="20" t="s">
        <v>51</v>
      </c>
      <c r="T9" s="20" t="s">
        <v>52</v>
      </c>
      <c r="U9" s="20" t="s">
        <v>53</v>
      </c>
      <c r="V9" s="20" t="s">
        <v>54</v>
      </c>
    </row>
    <row r="10">
      <c r="A10" s="18" t="s">
        <v>55</v>
      </c>
      <c r="F10" s="18" t="s">
        <v>56</v>
      </c>
      <c r="L10" s="20" t="s">
        <v>57</v>
      </c>
      <c r="M10" s="20">
        <v>8.0</v>
      </c>
      <c r="N10" s="20" t="s">
        <v>30</v>
      </c>
      <c r="O10" s="20" t="s">
        <v>31</v>
      </c>
      <c r="Q10" s="20">
        <v>0.0</v>
      </c>
      <c r="R10" s="20">
        <v>0.0</v>
      </c>
      <c r="S10" s="20">
        <v>272.2</v>
      </c>
      <c r="T10" s="20">
        <v>0.0</v>
      </c>
      <c r="U10" s="22">
        <f t="shared" ref="U10:U86" si="4">RADIANS(T10)</f>
        <v>0</v>
      </c>
      <c r="V10" s="22">
        <f t="shared" ref="V10:V86" si="5">-(($X$4*$R$4-$X$5*$R$5-$X$6*$R$6)*SIN(U10))/$X$6</f>
        <v>0</v>
      </c>
    </row>
    <row r="11">
      <c r="A11" s="18" t="s">
        <v>58</v>
      </c>
      <c r="F11" s="18" t="s">
        <v>59</v>
      </c>
      <c r="L11" s="20" t="s">
        <v>60</v>
      </c>
      <c r="M11" s="20">
        <v>10.0</v>
      </c>
      <c r="N11" s="20" t="s">
        <v>30</v>
      </c>
      <c r="O11" s="20" t="s">
        <v>31</v>
      </c>
      <c r="Q11" s="20">
        <v>0.5</v>
      </c>
      <c r="R11" s="20">
        <v>1.0</v>
      </c>
      <c r="S11" s="20">
        <v>272.2</v>
      </c>
      <c r="T11" s="20">
        <v>0.0</v>
      </c>
      <c r="U11" s="22">
        <f t="shared" si="4"/>
        <v>0</v>
      </c>
      <c r="V11" s="22">
        <f t="shared" si="5"/>
        <v>0</v>
      </c>
    </row>
    <row r="12">
      <c r="A12" s="18" t="s">
        <v>61</v>
      </c>
      <c r="F12" s="18" t="s">
        <v>62</v>
      </c>
      <c r="L12" s="20" t="s">
        <v>63</v>
      </c>
      <c r="M12" s="20">
        <v>11.0</v>
      </c>
      <c r="N12" s="20" t="s">
        <v>30</v>
      </c>
      <c r="O12" s="20" t="s">
        <v>31</v>
      </c>
      <c r="Q12" s="20">
        <v>1.0</v>
      </c>
      <c r="R12" s="20">
        <v>2.0</v>
      </c>
      <c r="S12" s="20">
        <v>272.2</v>
      </c>
      <c r="T12" s="20">
        <v>0.0</v>
      </c>
      <c r="U12" s="22">
        <f t="shared" si="4"/>
        <v>0</v>
      </c>
      <c r="V12" s="22">
        <f t="shared" si="5"/>
        <v>0</v>
      </c>
    </row>
    <row r="13">
      <c r="A13" s="18" t="s">
        <v>64</v>
      </c>
      <c r="F13" s="18" t="s">
        <v>65</v>
      </c>
      <c r="L13" s="20" t="s">
        <v>66</v>
      </c>
      <c r="M13" s="20">
        <v>12.0</v>
      </c>
      <c r="N13" s="20" t="s">
        <v>30</v>
      </c>
      <c r="O13" s="20" t="s">
        <v>31</v>
      </c>
      <c r="Q13" s="20">
        <v>1.5</v>
      </c>
      <c r="R13" s="20">
        <v>3.0</v>
      </c>
      <c r="S13" s="20">
        <v>272.2</v>
      </c>
      <c r="T13" s="20">
        <v>0.0</v>
      </c>
      <c r="U13" s="22">
        <f t="shared" si="4"/>
        <v>0</v>
      </c>
      <c r="V13" s="22">
        <f t="shared" si="5"/>
        <v>0</v>
      </c>
    </row>
    <row r="14">
      <c r="A14" s="18" t="s">
        <v>67</v>
      </c>
      <c r="F14" s="18" t="s">
        <v>68</v>
      </c>
      <c r="L14" s="20" t="s">
        <v>69</v>
      </c>
      <c r="M14" s="20">
        <v>14.0</v>
      </c>
      <c r="N14" s="20" t="s">
        <v>30</v>
      </c>
      <c r="O14" s="20" t="s">
        <v>31</v>
      </c>
      <c r="Q14" s="20">
        <v>2.0</v>
      </c>
      <c r="R14" s="20">
        <v>5.0</v>
      </c>
      <c r="S14" s="20">
        <v>272.2</v>
      </c>
      <c r="T14" s="20">
        <v>0.0</v>
      </c>
      <c r="U14" s="22">
        <f t="shared" si="4"/>
        <v>0</v>
      </c>
      <c r="V14" s="22">
        <f t="shared" si="5"/>
        <v>0</v>
      </c>
    </row>
    <row r="15">
      <c r="A15" s="18" t="s">
        <v>70</v>
      </c>
      <c r="F15" s="18" t="s">
        <v>71</v>
      </c>
      <c r="L15" s="20" t="s">
        <v>72</v>
      </c>
      <c r="M15" s="20">
        <v>15.0</v>
      </c>
      <c r="N15" s="20" t="s">
        <v>30</v>
      </c>
      <c r="O15" s="20" t="s">
        <v>31</v>
      </c>
      <c r="Q15" s="20">
        <v>2.5</v>
      </c>
      <c r="R15" s="20">
        <v>6.0</v>
      </c>
      <c r="S15" s="20">
        <v>272.2</v>
      </c>
      <c r="T15" s="20">
        <v>0.0</v>
      </c>
      <c r="U15" s="22">
        <f t="shared" si="4"/>
        <v>0</v>
      </c>
      <c r="V15" s="22">
        <f t="shared" si="5"/>
        <v>0</v>
      </c>
    </row>
    <row r="16">
      <c r="A16" s="18" t="s">
        <v>73</v>
      </c>
      <c r="F16" s="18" t="s">
        <v>74</v>
      </c>
      <c r="L16" s="20" t="s">
        <v>75</v>
      </c>
      <c r="M16" s="20">
        <v>16.0</v>
      </c>
      <c r="N16" s="20" t="s">
        <v>30</v>
      </c>
      <c r="O16" s="20" t="s">
        <v>31</v>
      </c>
      <c r="Q16" s="20">
        <v>3.0</v>
      </c>
      <c r="R16" s="20">
        <v>7.0</v>
      </c>
      <c r="S16" s="20">
        <v>272.2</v>
      </c>
      <c r="T16" s="20">
        <v>0.0</v>
      </c>
      <c r="U16" s="22">
        <f t="shared" si="4"/>
        <v>0</v>
      </c>
      <c r="V16" s="22">
        <f t="shared" si="5"/>
        <v>0</v>
      </c>
    </row>
    <row r="17">
      <c r="A17" s="18" t="s">
        <v>76</v>
      </c>
      <c r="F17" s="18" t="s">
        <v>77</v>
      </c>
      <c r="L17" s="20" t="s">
        <v>78</v>
      </c>
      <c r="M17" s="20">
        <v>17.0</v>
      </c>
      <c r="N17" s="20" t="s">
        <v>30</v>
      </c>
      <c r="O17" s="20" t="s">
        <v>31</v>
      </c>
      <c r="Q17" s="20">
        <v>3.5</v>
      </c>
      <c r="R17" s="20">
        <v>8.0</v>
      </c>
      <c r="S17" s="20">
        <v>272.2</v>
      </c>
      <c r="T17" s="20">
        <v>0.0</v>
      </c>
      <c r="U17" s="22">
        <f t="shared" si="4"/>
        <v>0</v>
      </c>
      <c r="V17" s="22">
        <f t="shared" si="5"/>
        <v>0</v>
      </c>
    </row>
    <row r="18">
      <c r="A18" s="18" t="s">
        <v>79</v>
      </c>
      <c r="F18" s="18" t="s">
        <v>80</v>
      </c>
      <c r="L18" s="20" t="s">
        <v>81</v>
      </c>
      <c r="M18" s="20">
        <v>19.0</v>
      </c>
      <c r="N18" s="20" t="s">
        <v>30</v>
      </c>
      <c r="O18" s="20" t="s">
        <v>31</v>
      </c>
      <c r="Q18" s="20">
        <v>4.0</v>
      </c>
      <c r="R18" s="20">
        <v>10.0</v>
      </c>
      <c r="S18" s="20">
        <v>272.2</v>
      </c>
      <c r="T18" s="20">
        <v>0.0</v>
      </c>
      <c r="U18" s="22">
        <f t="shared" si="4"/>
        <v>0</v>
      </c>
      <c r="V18" s="22">
        <f t="shared" si="5"/>
        <v>0</v>
      </c>
    </row>
    <row r="19">
      <c r="A19" s="18" t="s">
        <v>82</v>
      </c>
      <c r="F19" s="18" t="s">
        <v>83</v>
      </c>
      <c r="L19" s="20" t="s">
        <v>84</v>
      </c>
      <c r="M19" s="20">
        <v>20.0</v>
      </c>
      <c r="N19" s="20" t="s">
        <v>30</v>
      </c>
      <c r="O19" s="20" t="s">
        <v>31</v>
      </c>
      <c r="Q19" s="20">
        <v>4.5</v>
      </c>
      <c r="R19" s="20">
        <v>11.0</v>
      </c>
      <c r="S19" s="20">
        <v>272.2</v>
      </c>
      <c r="T19" s="20">
        <v>0.0</v>
      </c>
      <c r="U19" s="22">
        <f t="shared" si="4"/>
        <v>0</v>
      </c>
      <c r="V19" s="22">
        <f t="shared" si="5"/>
        <v>0</v>
      </c>
    </row>
    <row r="20">
      <c r="A20" s="18" t="s">
        <v>85</v>
      </c>
      <c r="F20" s="18" t="s">
        <v>86</v>
      </c>
      <c r="L20" s="20" t="s">
        <v>87</v>
      </c>
      <c r="M20" s="20">
        <v>21.0</v>
      </c>
      <c r="N20" s="20" t="s">
        <v>30</v>
      </c>
      <c r="O20" s="20" t="s">
        <v>31</v>
      </c>
      <c r="Q20" s="20">
        <v>5.0</v>
      </c>
      <c r="R20" s="20">
        <v>12.0</v>
      </c>
      <c r="S20" s="20">
        <v>272.2</v>
      </c>
      <c r="T20" s="20">
        <v>0.0</v>
      </c>
      <c r="U20" s="22">
        <f t="shared" si="4"/>
        <v>0</v>
      </c>
      <c r="V20" s="22">
        <f t="shared" si="5"/>
        <v>0</v>
      </c>
    </row>
    <row r="21">
      <c r="A21" s="18" t="s">
        <v>88</v>
      </c>
      <c r="F21" s="18" t="s">
        <v>89</v>
      </c>
      <c r="L21" s="20" t="s">
        <v>90</v>
      </c>
      <c r="M21" s="20">
        <v>22.0</v>
      </c>
      <c r="N21" s="20" t="s">
        <v>30</v>
      </c>
      <c r="O21" s="20" t="s">
        <v>31</v>
      </c>
      <c r="Q21" s="20">
        <v>5.5</v>
      </c>
      <c r="R21" s="20">
        <v>14.0</v>
      </c>
      <c r="S21" s="20">
        <v>272.2</v>
      </c>
      <c r="T21" s="20">
        <v>0.0</v>
      </c>
      <c r="U21" s="22">
        <f t="shared" si="4"/>
        <v>0</v>
      </c>
      <c r="V21" s="22">
        <f t="shared" si="5"/>
        <v>0</v>
      </c>
    </row>
    <row r="22">
      <c r="A22" s="18" t="s">
        <v>91</v>
      </c>
      <c r="F22" s="18" t="s">
        <v>92</v>
      </c>
      <c r="L22" s="20" t="s">
        <v>93</v>
      </c>
      <c r="M22" s="20">
        <v>24.0</v>
      </c>
      <c r="N22" s="20" t="s">
        <v>30</v>
      </c>
      <c r="O22" s="20" t="s">
        <v>31</v>
      </c>
      <c r="Q22" s="20">
        <v>6.0</v>
      </c>
      <c r="R22" s="20">
        <v>15.0</v>
      </c>
      <c r="S22" s="20">
        <v>272.2</v>
      </c>
      <c r="T22" s="20">
        <v>0.0</v>
      </c>
      <c r="U22" s="22">
        <f t="shared" si="4"/>
        <v>0</v>
      </c>
      <c r="V22" s="22">
        <f t="shared" si="5"/>
        <v>0</v>
      </c>
    </row>
    <row r="23">
      <c r="A23" s="18" t="s">
        <v>94</v>
      </c>
      <c r="F23" s="18" t="s">
        <v>95</v>
      </c>
      <c r="L23" s="20" t="s">
        <v>96</v>
      </c>
      <c r="M23" s="20">
        <v>25.0</v>
      </c>
      <c r="N23" s="20" t="s">
        <v>30</v>
      </c>
      <c r="O23" s="20" t="s">
        <v>31</v>
      </c>
      <c r="Q23" s="20">
        <v>6.5</v>
      </c>
      <c r="R23" s="20">
        <v>16.0</v>
      </c>
      <c r="S23" s="20">
        <v>272.2</v>
      </c>
      <c r="T23" s="20">
        <v>0.0</v>
      </c>
      <c r="U23" s="22">
        <f t="shared" si="4"/>
        <v>0</v>
      </c>
      <c r="V23" s="22">
        <f t="shared" si="5"/>
        <v>0</v>
      </c>
    </row>
    <row r="24">
      <c r="A24" s="18" t="s">
        <v>97</v>
      </c>
      <c r="F24" s="18" t="s">
        <v>98</v>
      </c>
      <c r="L24" s="20" t="s">
        <v>99</v>
      </c>
      <c r="M24" s="20">
        <v>26.0</v>
      </c>
      <c r="N24" s="20" t="s">
        <v>100</v>
      </c>
      <c r="O24" s="20" t="s">
        <v>101</v>
      </c>
      <c r="Q24" s="20">
        <v>7.0</v>
      </c>
      <c r="R24" s="20">
        <v>17.0</v>
      </c>
      <c r="S24" s="20">
        <v>272.2</v>
      </c>
      <c r="T24" s="20">
        <v>0.0</v>
      </c>
      <c r="U24" s="22">
        <f t="shared" si="4"/>
        <v>0</v>
      </c>
      <c r="V24" s="22">
        <f t="shared" si="5"/>
        <v>0</v>
      </c>
    </row>
    <row r="25">
      <c r="A25" s="18" t="s">
        <v>102</v>
      </c>
      <c r="F25" s="18" t="s">
        <v>103</v>
      </c>
      <c r="L25" s="20" t="s">
        <v>104</v>
      </c>
      <c r="M25" s="20">
        <v>28.0</v>
      </c>
      <c r="N25" s="20" t="s">
        <v>105</v>
      </c>
      <c r="O25" s="20" t="s">
        <v>106</v>
      </c>
      <c r="Q25" s="20">
        <v>7.5</v>
      </c>
      <c r="R25" s="20">
        <v>19.0</v>
      </c>
      <c r="S25" s="20">
        <v>272.2</v>
      </c>
      <c r="T25" s="20">
        <v>0.0</v>
      </c>
      <c r="U25" s="22">
        <f t="shared" si="4"/>
        <v>0</v>
      </c>
      <c r="V25" s="22">
        <f t="shared" si="5"/>
        <v>0</v>
      </c>
    </row>
    <row r="26">
      <c r="A26" s="18" t="s">
        <v>107</v>
      </c>
      <c r="F26" s="18" t="s">
        <v>108</v>
      </c>
      <c r="L26" s="20" t="s">
        <v>109</v>
      </c>
      <c r="M26" s="20">
        <v>29.0</v>
      </c>
      <c r="N26" s="20" t="s">
        <v>110</v>
      </c>
      <c r="O26" s="20" t="s">
        <v>111</v>
      </c>
      <c r="Q26" s="20">
        <v>8.0</v>
      </c>
      <c r="R26" s="20">
        <v>20.0</v>
      </c>
      <c r="S26" s="20">
        <v>272.2</v>
      </c>
      <c r="T26" s="20">
        <v>0.0</v>
      </c>
      <c r="U26" s="22">
        <f t="shared" si="4"/>
        <v>0</v>
      </c>
      <c r="V26" s="22">
        <f t="shared" si="5"/>
        <v>0</v>
      </c>
    </row>
    <row r="27">
      <c r="A27" s="18" t="s">
        <v>112</v>
      </c>
      <c r="F27" s="18" t="s">
        <v>113</v>
      </c>
      <c r="L27" s="20" t="s">
        <v>114</v>
      </c>
      <c r="M27" s="20">
        <v>30.0</v>
      </c>
      <c r="N27" s="20" t="s">
        <v>115</v>
      </c>
      <c r="O27" s="20" t="s">
        <v>116</v>
      </c>
      <c r="Q27" s="20">
        <v>8.5</v>
      </c>
      <c r="R27" s="20">
        <v>21.0</v>
      </c>
      <c r="S27" s="20">
        <v>272.2</v>
      </c>
      <c r="T27" s="20">
        <v>0.0</v>
      </c>
      <c r="U27" s="22">
        <f t="shared" si="4"/>
        <v>0</v>
      </c>
      <c r="V27" s="22">
        <f t="shared" si="5"/>
        <v>0</v>
      </c>
    </row>
    <row r="28">
      <c r="A28" s="18" t="s">
        <v>117</v>
      </c>
      <c r="F28" s="18" t="s">
        <v>118</v>
      </c>
      <c r="L28" s="20" t="s">
        <v>119</v>
      </c>
      <c r="M28" s="20">
        <v>31.0</v>
      </c>
      <c r="N28" s="20" t="s">
        <v>120</v>
      </c>
      <c r="O28" s="20" t="s">
        <v>121</v>
      </c>
      <c r="Q28" s="20">
        <v>9.0</v>
      </c>
      <c r="R28" s="20">
        <v>22.0</v>
      </c>
      <c r="S28" s="20">
        <v>272.2</v>
      </c>
      <c r="T28" s="20">
        <v>0.0</v>
      </c>
      <c r="U28" s="22">
        <f t="shared" si="4"/>
        <v>0</v>
      </c>
      <c r="V28" s="22">
        <f t="shared" si="5"/>
        <v>0</v>
      </c>
    </row>
    <row r="29">
      <c r="A29" s="18" t="s">
        <v>122</v>
      </c>
      <c r="F29" s="18" t="s">
        <v>123</v>
      </c>
      <c r="L29" s="20" t="s">
        <v>124</v>
      </c>
      <c r="M29" s="20">
        <v>33.0</v>
      </c>
      <c r="N29" s="20" t="s">
        <v>125</v>
      </c>
      <c r="O29" s="20" t="s">
        <v>126</v>
      </c>
      <c r="Q29" s="20">
        <v>9.5</v>
      </c>
      <c r="R29" s="20">
        <v>24.0</v>
      </c>
      <c r="S29" s="20">
        <v>272.2</v>
      </c>
      <c r="T29" s="20">
        <v>0.0</v>
      </c>
      <c r="U29" s="22">
        <f t="shared" si="4"/>
        <v>0</v>
      </c>
      <c r="V29" s="22">
        <f t="shared" si="5"/>
        <v>0</v>
      </c>
    </row>
    <row r="30">
      <c r="A30" s="18" t="s">
        <v>127</v>
      </c>
      <c r="F30" s="18" t="s">
        <v>128</v>
      </c>
      <c r="L30" s="20" t="s">
        <v>129</v>
      </c>
      <c r="M30" s="20">
        <v>34.0</v>
      </c>
      <c r="N30" s="20" t="s">
        <v>130</v>
      </c>
      <c r="O30" s="20" t="s">
        <v>131</v>
      </c>
      <c r="Q30" s="20">
        <v>10.0</v>
      </c>
      <c r="R30" s="20">
        <v>25.0</v>
      </c>
      <c r="S30" s="20">
        <v>272.2</v>
      </c>
      <c r="T30" s="20">
        <v>0.0</v>
      </c>
      <c r="U30" s="22">
        <f t="shared" si="4"/>
        <v>0</v>
      </c>
      <c r="V30" s="22">
        <f t="shared" si="5"/>
        <v>0</v>
      </c>
    </row>
    <row r="31">
      <c r="A31" s="18" t="s">
        <v>132</v>
      </c>
      <c r="F31" s="18" t="s">
        <v>133</v>
      </c>
      <c r="L31" s="20" t="s">
        <v>134</v>
      </c>
      <c r="M31" s="20">
        <v>35.0</v>
      </c>
      <c r="N31" s="20" t="s">
        <v>130</v>
      </c>
      <c r="O31" s="20" t="s">
        <v>131</v>
      </c>
      <c r="Q31" s="20">
        <v>10.5</v>
      </c>
      <c r="R31" s="20">
        <v>26.0</v>
      </c>
      <c r="S31" s="20">
        <v>272.55</v>
      </c>
      <c r="T31" s="20">
        <v>0.35</v>
      </c>
      <c r="U31" s="22">
        <f t="shared" si="4"/>
        <v>0.006108652382</v>
      </c>
      <c r="V31" s="22">
        <f t="shared" si="5"/>
        <v>0.0002916374682</v>
      </c>
    </row>
    <row r="32">
      <c r="A32" s="18" t="s">
        <v>135</v>
      </c>
      <c r="F32" s="18" t="s">
        <v>136</v>
      </c>
      <c r="L32" s="20" t="s">
        <v>137</v>
      </c>
      <c r="M32" s="20">
        <v>36.0</v>
      </c>
      <c r="N32" s="20" t="s">
        <v>130</v>
      </c>
      <c r="O32" s="20" t="s">
        <v>131</v>
      </c>
      <c r="Q32" s="20">
        <v>11.0</v>
      </c>
      <c r="R32" s="20">
        <v>28.0</v>
      </c>
      <c r="S32" s="20">
        <v>272.46</v>
      </c>
      <c r="T32" s="20">
        <v>0.26</v>
      </c>
      <c r="U32" s="22">
        <f t="shared" si="4"/>
        <v>0.004537856055</v>
      </c>
      <c r="V32" s="22">
        <f t="shared" si="5"/>
        <v>0.0002166455803</v>
      </c>
    </row>
    <row r="33">
      <c r="A33" s="18" t="s">
        <v>138</v>
      </c>
      <c r="F33" s="18" t="s">
        <v>139</v>
      </c>
      <c r="L33" s="20" t="s">
        <v>140</v>
      </c>
      <c r="M33" s="20">
        <v>38.0</v>
      </c>
      <c r="N33" s="20" t="s">
        <v>130</v>
      </c>
      <c r="O33" s="20" t="s">
        <v>131</v>
      </c>
      <c r="Q33" s="20">
        <v>11.5</v>
      </c>
      <c r="R33" s="20">
        <v>29.0</v>
      </c>
      <c r="S33" s="20">
        <v>272.64</v>
      </c>
      <c r="T33" s="20">
        <v>0.44</v>
      </c>
      <c r="U33" s="22">
        <f t="shared" si="4"/>
        <v>0.007679448709</v>
      </c>
      <c r="V33" s="22">
        <f t="shared" si="5"/>
        <v>0.0003666286366</v>
      </c>
    </row>
    <row r="34">
      <c r="A34" s="18" t="s">
        <v>141</v>
      </c>
      <c r="F34" s="18" t="s">
        <v>142</v>
      </c>
      <c r="L34" s="20" t="s">
        <v>143</v>
      </c>
      <c r="M34" s="20">
        <v>39.0</v>
      </c>
      <c r="N34" s="20" t="s">
        <v>130</v>
      </c>
      <c r="O34" s="20" t="s">
        <v>131</v>
      </c>
      <c r="Q34" s="20">
        <v>12.0</v>
      </c>
      <c r="R34" s="20">
        <v>30.0</v>
      </c>
      <c r="S34" s="20">
        <v>273.08</v>
      </c>
      <c r="T34" s="20">
        <v>0.88</v>
      </c>
      <c r="U34" s="22">
        <f t="shared" si="4"/>
        <v>0.01535889742</v>
      </c>
      <c r="V34" s="22">
        <f t="shared" si="5"/>
        <v>0.0007332356519</v>
      </c>
    </row>
    <row r="35">
      <c r="A35" s="18" t="s">
        <v>144</v>
      </c>
      <c r="F35" s="18" t="s">
        <v>145</v>
      </c>
      <c r="L35" s="20" t="s">
        <v>146</v>
      </c>
      <c r="M35" s="20">
        <v>40.0</v>
      </c>
      <c r="N35" s="20" t="s">
        <v>130</v>
      </c>
      <c r="O35" s="20" t="s">
        <v>131</v>
      </c>
      <c r="Q35" s="20">
        <v>12.5</v>
      </c>
      <c r="R35" s="20">
        <v>31.0</v>
      </c>
      <c r="S35" s="20">
        <v>273.43</v>
      </c>
      <c r="T35" s="20">
        <v>1.23</v>
      </c>
      <c r="U35" s="22">
        <f t="shared" si="4"/>
        <v>0.0214675498</v>
      </c>
      <c r="V35" s="22">
        <f t="shared" si="5"/>
        <v>0.001024825042</v>
      </c>
    </row>
    <row r="36">
      <c r="A36" s="18" t="s">
        <v>147</v>
      </c>
      <c r="F36" s="18" t="s">
        <v>148</v>
      </c>
      <c r="L36" s="20" t="s">
        <v>149</v>
      </c>
      <c r="M36" s="20">
        <v>42.0</v>
      </c>
      <c r="N36" s="20" t="s">
        <v>130</v>
      </c>
      <c r="O36" s="20" t="s">
        <v>131</v>
      </c>
      <c r="Q36" s="20">
        <v>13.0</v>
      </c>
      <c r="R36" s="20">
        <v>33.0</v>
      </c>
      <c r="S36" s="20">
        <v>275.1</v>
      </c>
      <c r="T36" s="20">
        <v>2.9</v>
      </c>
      <c r="U36" s="22">
        <f t="shared" si="4"/>
        <v>0.05061454831</v>
      </c>
      <c r="V36" s="22">
        <f t="shared" si="5"/>
        <v>0.002415408145</v>
      </c>
    </row>
    <row r="37">
      <c r="A37" s="18" t="s">
        <v>150</v>
      </c>
      <c r="F37" s="18" t="s">
        <v>151</v>
      </c>
      <c r="L37" s="20" t="s">
        <v>152</v>
      </c>
      <c r="M37" s="20">
        <v>43.0</v>
      </c>
      <c r="N37" s="20" t="s">
        <v>153</v>
      </c>
      <c r="O37" s="20" t="s">
        <v>154</v>
      </c>
      <c r="Q37" s="20">
        <v>13.5</v>
      </c>
      <c r="R37" s="20">
        <v>34.0</v>
      </c>
      <c r="S37" s="20">
        <v>276.68</v>
      </c>
      <c r="T37" s="20">
        <v>4.48</v>
      </c>
      <c r="U37" s="22">
        <f t="shared" si="4"/>
        <v>0.07819075049</v>
      </c>
      <c r="V37" s="22">
        <f t="shared" si="5"/>
        <v>0.003729180191</v>
      </c>
    </row>
    <row r="38">
      <c r="A38" s="18" t="s">
        <v>155</v>
      </c>
      <c r="F38" s="18" t="s">
        <v>156</v>
      </c>
      <c r="L38" s="20" t="s">
        <v>157</v>
      </c>
      <c r="M38" s="20">
        <v>44.0</v>
      </c>
      <c r="N38" s="20" t="s">
        <v>153</v>
      </c>
      <c r="O38" s="20" t="s">
        <v>154</v>
      </c>
      <c r="Q38" s="20">
        <v>14.0</v>
      </c>
      <c r="R38" s="20">
        <v>35.0</v>
      </c>
      <c r="S38" s="20">
        <v>276.68</v>
      </c>
      <c r="T38" s="20">
        <v>4.48</v>
      </c>
      <c r="U38" s="22">
        <f t="shared" si="4"/>
        <v>0.07819075049</v>
      </c>
      <c r="V38" s="22">
        <f t="shared" si="5"/>
        <v>0.003729180191</v>
      </c>
    </row>
    <row r="39">
      <c r="A39" s="18" t="s">
        <v>158</v>
      </c>
      <c r="F39" s="18" t="s">
        <v>159</v>
      </c>
      <c r="L39" s="20" t="s">
        <v>160</v>
      </c>
      <c r="M39" s="20">
        <v>45.0</v>
      </c>
      <c r="N39" s="20" t="s">
        <v>161</v>
      </c>
      <c r="O39" s="20" t="s">
        <v>162</v>
      </c>
      <c r="Q39" s="20">
        <v>14.5</v>
      </c>
      <c r="R39" s="20">
        <v>36.0</v>
      </c>
      <c r="S39" s="20">
        <v>276.68</v>
      </c>
      <c r="T39" s="20">
        <v>4.48</v>
      </c>
      <c r="U39" s="22">
        <f t="shared" si="4"/>
        <v>0.07819075049</v>
      </c>
      <c r="V39" s="22">
        <f t="shared" si="5"/>
        <v>0.003729180191</v>
      </c>
    </row>
    <row r="40">
      <c r="A40" s="18" t="s">
        <v>163</v>
      </c>
      <c r="F40" s="18" t="s">
        <v>164</v>
      </c>
      <c r="L40" s="20" t="s">
        <v>165</v>
      </c>
      <c r="M40" s="20">
        <v>47.0</v>
      </c>
      <c r="N40" s="20" t="s">
        <v>166</v>
      </c>
      <c r="O40" s="20" t="s">
        <v>167</v>
      </c>
      <c r="Q40" s="20">
        <v>15.0</v>
      </c>
      <c r="R40" s="20">
        <v>38.0</v>
      </c>
      <c r="S40" s="20">
        <v>276.68</v>
      </c>
      <c r="T40" s="20">
        <v>4.48</v>
      </c>
      <c r="U40" s="22">
        <f t="shared" si="4"/>
        <v>0.07819075049</v>
      </c>
      <c r="V40" s="22">
        <f t="shared" si="5"/>
        <v>0.003729180191</v>
      </c>
    </row>
    <row r="41">
      <c r="A41" s="18" t="s">
        <v>168</v>
      </c>
      <c r="F41" s="18" t="s">
        <v>169</v>
      </c>
      <c r="L41" s="20" t="s">
        <v>170</v>
      </c>
      <c r="M41" s="20">
        <v>48.0</v>
      </c>
      <c r="N41" s="20" t="s">
        <v>171</v>
      </c>
      <c r="O41" s="20" t="s">
        <v>172</v>
      </c>
      <c r="Q41" s="20">
        <v>15.5</v>
      </c>
      <c r="R41" s="20">
        <v>39.0</v>
      </c>
      <c r="S41" s="20">
        <v>276.68</v>
      </c>
      <c r="T41" s="20">
        <v>4.48</v>
      </c>
      <c r="U41" s="22">
        <f t="shared" si="4"/>
        <v>0.07819075049</v>
      </c>
      <c r="V41" s="22">
        <f t="shared" si="5"/>
        <v>0.003729180191</v>
      </c>
    </row>
    <row r="42">
      <c r="A42" s="18" t="s">
        <v>173</v>
      </c>
      <c r="F42" s="18" t="s">
        <v>174</v>
      </c>
      <c r="L42" s="20" t="s">
        <v>175</v>
      </c>
      <c r="M42" s="20">
        <v>49.0</v>
      </c>
      <c r="N42" s="20" t="s">
        <v>176</v>
      </c>
      <c r="O42" s="20" t="s">
        <v>177</v>
      </c>
      <c r="Q42" s="20">
        <v>16.0</v>
      </c>
      <c r="R42" s="20">
        <v>40.0</v>
      </c>
      <c r="S42" s="20">
        <v>276.68</v>
      </c>
      <c r="T42" s="20">
        <v>4.48</v>
      </c>
      <c r="U42" s="22">
        <f t="shared" si="4"/>
        <v>0.07819075049</v>
      </c>
      <c r="V42" s="22">
        <f t="shared" si="5"/>
        <v>0.003729180191</v>
      </c>
    </row>
    <row r="43">
      <c r="A43" s="18" t="s">
        <v>178</v>
      </c>
      <c r="F43" s="18" t="s">
        <v>179</v>
      </c>
      <c r="L43" s="20" t="s">
        <v>180</v>
      </c>
      <c r="M43" s="20">
        <v>51.0</v>
      </c>
      <c r="N43" s="20" t="s">
        <v>181</v>
      </c>
      <c r="O43" s="20" t="s">
        <v>182</v>
      </c>
      <c r="Q43" s="20">
        <v>16.5</v>
      </c>
      <c r="R43" s="20">
        <v>42.0</v>
      </c>
      <c r="S43" s="20">
        <v>276.68</v>
      </c>
      <c r="T43" s="20">
        <v>4.48</v>
      </c>
      <c r="U43" s="22">
        <f t="shared" si="4"/>
        <v>0.07819075049</v>
      </c>
      <c r="V43" s="22">
        <f t="shared" si="5"/>
        <v>0.003729180191</v>
      </c>
    </row>
    <row r="44">
      <c r="A44" s="18" t="s">
        <v>183</v>
      </c>
      <c r="F44" s="18" t="s">
        <v>184</v>
      </c>
      <c r="L44" s="20" t="s">
        <v>185</v>
      </c>
      <c r="M44" s="20">
        <v>52.0</v>
      </c>
      <c r="N44" s="20" t="s">
        <v>186</v>
      </c>
      <c r="O44" s="20" t="s">
        <v>187</v>
      </c>
      <c r="Q44" s="20">
        <v>17.0</v>
      </c>
      <c r="R44" s="20">
        <v>43.0</v>
      </c>
      <c r="S44" s="20">
        <v>276.77</v>
      </c>
      <c r="T44" s="20">
        <v>4.57</v>
      </c>
      <c r="U44" s="22">
        <f t="shared" si="4"/>
        <v>0.07976154682</v>
      </c>
      <c r="V44" s="22">
        <f t="shared" si="5"/>
        <v>0.003803939389</v>
      </c>
    </row>
    <row r="45">
      <c r="A45" s="18" t="s">
        <v>188</v>
      </c>
      <c r="F45" s="18" t="s">
        <v>189</v>
      </c>
      <c r="L45" s="20" t="s">
        <v>190</v>
      </c>
      <c r="M45" s="20">
        <v>53.0</v>
      </c>
      <c r="N45" s="20" t="s">
        <v>191</v>
      </c>
      <c r="O45" s="20" t="s">
        <v>192</v>
      </c>
      <c r="Q45" s="20">
        <v>17.5</v>
      </c>
      <c r="R45" s="20">
        <v>44.0</v>
      </c>
      <c r="S45" s="20">
        <v>276.77</v>
      </c>
      <c r="T45" s="20">
        <v>4.57</v>
      </c>
      <c r="U45" s="22">
        <f t="shared" si="4"/>
        <v>0.07976154682</v>
      </c>
      <c r="V45" s="22">
        <f t="shared" si="5"/>
        <v>0.003803939389</v>
      </c>
    </row>
    <row r="46">
      <c r="A46" s="18" t="s">
        <v>193</v>
      </c>
      <c r="F46" s="18" t="s">
        <v>194</v>
      </c>
      <c r="L46" s="20" t="s">
        <v>195</v>
      </c>
      <c r="M46" s="20">
        <v>54.0</v>
      </c>
      <c r="N46" s="20" t="s">
        <v>196</v>
      </c>
      <c r="O46" s="20" t="s">
        <v>197</v>
      </c>
      <c r="Q46" s="20">
        <v>18.0</v>
      </c>
      <c r="R46" s="20">
        <v>45.0</v>
      </c>
      <c r="S46" s="20">
        <v>288.02</v>
      </c>
      <c r="T46" s="20">
        <v>15.82</v>
      </c>
      <c r="U46" s="22">
        <f t="shared" si="4"/>
        <v>0.2761110877</v>
      </c>
      <c r="V46" s="22">
        <f t="shared" si="5"/>
        <v>0.01301523822</v>
      </c>
    </row>
    <row r="47">
      <c r="A47" s="18" t="s">
        <v>198</v>
      </c>
      <c r="F47" s="18" t="s">
        <v>199</v>
      </c>
      <c r="L47" s="20" t="s">
        <v>200</v>
      </c>
      <c r="M47" s="20">
        <v>56.0</v>
      </c>
      <c r="N47" s="20" t="s">
        <v>201</v>
      </c>
      <c r="O47" s="20" t="s">
        <v>202</v>
      </c>
      <c r="Q47" s="20">
        <v>18.5</v>
      </c>
      <c r="R47" s="20">
        <v>47.0</v>
      </c>
      <c r="S47" s="20">
        <v>288.19</v>
      </c>
      <c r="T47" s="20">
        <v>16.0</v>
      </c>
      <c r="U47" s="22">
        <f t="shared" si="4"/>
        <v>0.2792526803</v>
      </c>
      <c r="V47" s="22">
        <f t="shared" si="5"/>
        <v>0.01315947864</v>
      </c>
    </row>
    <row r="48">
      <c r="A48" s="18" t="s">
        <v>203</v>
      </c>
      <c r="F48" s="18" t="s">
        <v>204</v>
      </c>
      <c r="L48" s="20" t="s">
        <v>205</v>
      </c>
      <c r="M48" s="20">
        <v>57.0</v>
      </c>
      <c r="N48" s="20" t="s">
        <v>206</v>
      </c>
      <c r="O48" s="20" t="s">
        <v>207</v>
      </c>
      <c r="Q48" s="20">
        <v>19.0</v>
      </c>
      <c r="R48" s="20">
        <v>48.0</v>
      </c>
      <c r="S48" s="20">
        <v>288.9</v>
      </c>
      <c r="T48" s="20">
        <v>16.7</v>
      </c>
      <c r="U48" s="22">
        <f t="shared" si="4"/>
        <v>0.2914699851</v>
      </c>
      <c r="V48" s="22">
        <f t="shared" si="5"/>
        <v>0.01371916594</v>
      </c>
    </row>
    <row r="49">
      <c r="A49" s="18" t="s">
        <v>208</v>
      </c>
      <c r="F49" s="18" t="s">
        <v>209</v>
      </c>
      <c r="L49" s="20" t="s">
        <v>210</v>
      </c>
      <c r="M49" s="20">
        <v>58.0</v>
      </c>
      <c r="N49" s="20" t="s">
        <v>211</v>
      </c>
      <c r="O49" s="20" t="s">
        <v>212</v>
      </c>
      <c r="Q49" s="20">
        <v>19.5</v>
      </c>
      <c r="R49" s="20">
        <v>49.0</v>
      </c>
      <c r="S49" s="20">
        <v>289.16</v>
      </c>
      <c r="T49" s="20">
        <v>16.96</v>
      </c>
      <c r="U49" s="22">
        <f t="shared" si="4"/>
        <v>0.2960078411</v>
      </c>
      <c r="V49" s="22">
        <f t="shared" si="5"/>
        <v>0.0139265327</v>
      </c>
    </row>
    <row r="50">
      <c r="A50" s="18" t="s">
        <v>213</v>
      </c>
      <c r="F50" s="18" t="s">
        <v>214</v>
      </c>
      <c r="L50" s="20" t="s">
        <v>215</v>
      </c>
      <c r="M50" s="20">
        <v>59.0</v>
      </c>
      <c r="N50" s="20" t="s">
        <v>216</v>
      </c>
      <c r="O50" s="20" t="s">
        <v>217</v>
      </c>
      <c r="Q50" s="20">
        <v>20.0</v>
      </c>
      <c r="R50" s="20">
        <v>51.0</v>
      </c>
      <c r="S50" s="20">
        <v>289.69</v>
      </c>
      <c r="T50" s="20">
        <v>17.49</v>
      </c>
      <c r="U50" s="22">
        <f t="shared" si="4"/>
        <v>0.3052580862</v>
      </c>
      <c r="V50" s="22">
        <f t="shared" si="5"/>
        <v>0.01434834917</v>
      </c>
    </row>
    <row r="51">
      <c r="A51" s="18" t="s">
        <v>218</v>
      </c>
      <c r="F51" s="18" t="s">
        <v>219</v>
      </c>
      <c r="L51" s="20" t="s">
        <v>220</v>
      </c>
      <c r="M51" s="20">
        <v>61.0</v>
      </c>
      <c r="N51" s="20" t="s">
        <v>216</v>
      </c>
      <c r="O51" s="20" t="s">
        <v>217</v>
      </c>
      <c r="Q51" s="20">
        <v>20.5</v>
      </c>
      <c r="R51" s="20">
        <v>52.0</v>
      </c>
      <c r="S51" s="20">
        <v>292.5</v>
      </c>
      <c r="T51" s="20">
        <v>20.3</v>
      </c>
      <c r="U51" s="22">
        <f t="shared" si="4"/>
        <v>0.3543018382</v>
      </c>
      <c r="V51" s="22">
        <f t="shared" si="5"/>
        <v>0.01656340188</v>
      </c>
    </row>
    <row r="52">
      <c r="A52" s="18" t="s">
        <v>221</v>
      </c>
      <c r="F52" s="18" t="s">
        <v>222</v>
      </c>
      <c r="L52" s="20" t="s">
        <v>223</v>
      </c>
      <c r="M52" s="20">
        <v>62.0</v>
      </c>
      <c r="N52" s="20" t="s">
        <v>216</v>
      </c>
      <c r="O52" s="20" t="s">
        <v>217</v>
      </c>
      <c r="Q52" s="20">
        <v>21.0</v>
      </c>
      <c r="R52" s="20">
        <v>53.0</v>
      </c>
      <c r="S52" s="20">
        <v>293.47</v>
      </c>
      <c r="T52" s="20">
        <v>21.27</v>
      </c>
      <c r="U52" s="22">
        <f t="shared" si="4"/>
        <v>0.3712315319</v>
      </c>
      <c r="V52" s="22">
        <f t="shared" si="5"/>
        <v>0.01731904778</v>
      </c>
    </row>
    <row r="53">
      <c r="A53" s="18" t="s">
        <v>224</v>
      </c>
      <c r="F53" s="18" t="s">
        <v>225</v>
      </c>
      <c r="L53" s="20" t="s">
        <v>226</v>
      </c>
      <c r="M53" s="20">
        <v>63.0</v>
      </c>
      <c r="N53" s="20" t="s">
        <v>216</v>
      </c>
      <c r="O53" s="20" t="s">
        <v>217</v>
      </c>
      <c r="Q53" s="20">
        <v>21.5</v>
      </c>
      <c r="R53" s="20">
        <v>54.0</v>
      </c>
      <c r="S53" s="20">
        <v>294.26</v>
      </c>
      <c r="T53" s="20">
        <v>22.06</v>
      </c>
      <c r="U53" s="22">
        <f t="shared" si="4"/>
        <v>0.385019633</v>
      </c>
      <c r="V53" s="22">
        <f t="shared" si="5"/>
        <v>0.01793081301</v>
      </c>
    </row>
    <row r="54">
      <c r="A54" s="18" t="s">
        <v>227</v>
      </c>
      <c r="F54" s="18" t="s">
        <v>228</v>
      </c>
      <c r="L54" s="20" t="s">
        <v>229</v>
      </c>
      <c r="M54" s="20">
        <v>65.0</v>
      </c>
      <c r="N54" s="20" t="s">
        <v>230</v>
      </c>
      <c r="O54" s="20" t="s">
        <v>231</v>
      </c>
      <c r="Q54" s="20">
        <v>22.0</v>
      </c>
      <c r="R54" s="20">
        <v>56.0</v>
      </c>
      <c r="S54" s="20">
        <v>294.79</v>
      </c>
      <c r="T54" s="20">
        <v>22.59</v>
      </c>
      <c r="U54" s="22">
        <f t="shared" si="4"/>
        <v>0.394269878</v>
      </c>
      <c r="V54" s="22">
        <f t="shared" si="5"/>
        <v>0.01833933432</v>
      </c>
    </row>
    <row r="55">
      <c r="A55" s="18" t="s">
        <v>232</v>
      </c>
      <c r="F55" s="18" t="s">
        <v>233</v>
      </c>
      <c r="L55" s="20" t="s">
        <v>234</v>
      </c>
      <c r="M55" s="20">
        <v>66.0</v>
      </c>
      <c r="N55" s="20" t="s">
        <v>235</v>
      </c>
      <c r="O55" s="20" t="s">
        <v>236</v>
      </c>
      <c r="Q55" s="20">
        <v>22.5</v>
      </c>
      <c r="R55" s="20">
        <v>57.0</v>
      </c>
      <c r="S55" s="20">
        <v>297.16</v>
      </c>
      <c r="T55" s="20">
        <v>24.96</v>
      </c>
      <c r="U55" s="22">
        <f t="shared" si="4"/>
        <v>0.4356341813</v>
      </c>
      <c r="V55" s="22">
        <f t="shared" si="5"/>
        <v>0.02014642871</v>
      </c>
    </row>
    <row r="56">
      <c r="A56" s="18" t="s">
        <v>237</v>
      </c>
      <c r="F56" s="18" t="s">
        <v>238</v>
      </c>
      <c r="L56" s="20" t="s">
        <v>239</v>
      </c>
      <c r="M56" s="20">
        <v>67.0</v>
      </c>
      <c r="N56" s="20" t="s">
        <v>240</v>
      </c>
      <c r="O56" s="20" t="s">
        <v>241</v>
      </c>
      <c r="Q56" s="20">
        <v>23.0</v>
      </c>
      <c r="R56" s="20">
        <v>58.0</v>
      </c>
      <c r="S56" s="20">
        <v>297.25</v>
      </c>
      <c r="T56" s="20">
        <v>25.05</v>
      </c>
      <c r="U56" s="22">
        <f t="shared" si="4"/>
        <v>0.4372049776</v>
      </c>
      <c r="V56" s="22">
        <f t="shared" si="5"/>
        <v>0.02021439264</v>
      </c>
    </row>
    <row r="57">
      <c r="A57" s="18" t="s">
        <v>242</v>
      </c>
      <c r="F57" s="18" t="s">
        <v>243</v>
      </c>
      <c r="L57" s="20" t="s">
        <v>244</v>
      </c>
      <c r="M57" s="20">
        <v>68.0</v>
      </c>
      <c r="N57" s="20" t="s">
        <v>245</v>
      </c>
      <c r="O57" s="20" t="s">
        <v>246</v>
      </c>
      <c r="Q57" s="20">
        <v>23.5</v>
      </c>
      <c r="R57" s="20">
        <v>59.0</v>
      </c>
      <c r="S57" s="20">
        <v>297.33</v>
      </c>
      <c r="T57" s="20">
        <v>25.14</v>
      </c>
      <c r="U57" s="22">
        <f t="shared" si="4"/>
        <v>0.438775774</v>
      </c>
      <c r="V57" s="22">
        <f t="shared" si="5"/>
        <v>0.0202823067</v>
      </c>
    </row>
    <row r="58">
      <c r="A58" s="18" t="s">
        <v>247</v>
      </c>
      <c r="F58" s="18" t="s">
        <v>248</v>
      </c>
      <c r="L58" s="20" t="s">
        <v>249</v>
      </c>
      <c r="M58" s="20">
        <v>70.0</v>
      </c>
      <c r="N58" s="20" t="s">
        <v>250</v>
      </c>
      <c r="O58" s="20" t="s">
        <v>251</v>
      </c>
      <c r="Q58" s="20">
        <v>24.0</v>
      </c>
      <c r="R58" s="20">
        <v>61.0</v>
      </c>
      <c r="S58" s="20">
        <v>297.33</v>
      </c>
      <c r="T58" s="20">
        <v>25.14</v>
      </c>
      <c r="U58" s="22">
        <f t="shared" si="4"/>
        <v>0.438775774</v>
      </c>
      <c r="V58" s="22">
        <f t="shared" si="5"/>
        <v>0.0202823067</v>
      </c>
    </row>
    <row r="59">
      <c r="A59" s="18" t="s">
        <v>252</v>
      </c>
      <c r="F59" s="18" t="s">
        <v>253</v>
      </c>
      <c r="L59" s="20" t="s">
        <v>254</v>
      </c>
      <c r="M59" s="20">
        <v>71.0</v>
      </c>
      <c r="N59" s="20" t="s">
        <v>255</v>
      </c>
      <c r="O59" s="20" t="s">
        <v>256</v>
      </c>
      <c r="Q59" s="20">
        <v>24.5</v>
      </c>
      <c r="R59" s="20">
        <v>62.0</v>
      </c>
      <c r="S59" s="20">
        <v>297.33</v>
      </c>
      <c r="T59" s="20">
        <v>25.14</v>
      </c>
      <c r="U59" s="22">
        <f t="shared" si="4"/>
        <v>0.438775774</v>
      </c>
      <c r="V59" s="22">
        <f t="shared" si="5"/>
        <v>0.0202823067</v>
      </c>
    </row>
    <row r="60">
      <c r="A60" s="18" t="s">
        <v>257</v>
      </c>
      <c r="F60" s="18" t="s">
        <v>258</v>
      </c>
      <c r="L60" s="20" t="s">
        <v>259</v>
      </c>
      <c r="M60" s="20">
        <v>72.0</v>
      </c>
      <c r="N60" s="20" t="s">
        <v>260</v>
      </c>
      <c r="O60" s="20" t="s">
        <v>261</v>
      </c>
      <c r="Q60" s="20">
        <v>25.0</v>
      </c>
      <c r="R60" s="20">
        <v>63.0</v>
      </c>
      <c r="S60" s="20">
        <v>297.33</v>
      </c>
      <c r="T60" s="20">
        <v>25.14</v>
      </c>
      <c r="U60" s="22">
        <f t="shared" si="4"/>
        <v>0.438775774</v>
      </c>
      <c r="V60" s="22">
        <f t="shared" si="5"/>
        <v>0.0202823067</v>
      </c>
    </row>
    <row r="61">
      <c r="A61" s="18" t="s">
        <v>262</v>
      </c>
      <c r="F61" s="18" t="s">
        <v>263</v>
      </c>
      <c r="L61" s="20" t="s">
        <v>264</v>
      </c>
      <c r="M61" s="20">
        <v>73.0</v>
      </c>
      <c r="N61" s="20" t="s">
        <v>265</v>
      </c>
      <c r="O61" s="20" t="s">
        <v>266</v>
      </c>
      <c r="Q61" s="20">
        <v>25.5</v>
      </c>
      <c r="R61" s="20">
        <v>65.0</v>
      </c>
      <c r="S61" s="20">
        <v>297.42</v>
      </c>
      <c r="T61" s="20">
        <v>25.22</v>
      </c>
      <c r="U61" s="22">
        <f t="shared" si="4"/>
        <v>0.4401720374</v>
      </c>
      <c r="V61" s="22">
        <f t="shared" si="5"/>
        <v>0.02034263273</v>
      </c>
    </row>
    <row r="62">
      <c r="A62" s="18" t="s">
        <v>267</v>
      </c>
      <c r="F62" s="18" t="s">
        <v>268</v>
      </c>
      <c r="L62" s="20" t="s">
        <v>269</v>
      </c>
      <c r="M62" s="20">
        <v>75.0</v>
      </c>
      <c r="N62" s="20" t="s">
        <v>270</v>
      </c>
      <c r="O62" s="20" t="s">
        <v>271</v>
      </c>
      <c r="Q62" s="20">
        <v>26.0</v>
      </c>
      <c r="R62" s="20">
        <v>66.0</v>
      </c>
      <c r="S62" s="20">
        <v>302.26</v>
      </c>
      <c r="T62" s="20">
        <v>30.06</v>
      </c>
      <c r="U62" s="22">
        <f t="shared" si="4"/>
        <v>0.5246459731</v>
      </c>
      <c r="V62" s="22">
        <f t="shared" si="5"/>
        <v>0.02391428411</v>
      </c>
    </row>
    <row r="63">
      <c r="A63" s="18" t="s">
        <v>272</v>
      </c>
      <c r="F63" s="18" t="s">
        <v>273</v>
      </c>
      <c r="L63" s="20" t="s">
        <v>274</v>
      </c>
      <c r="M63" s="20">
        <v>76.0</v>
      </c>
      <c r="N63" s="20" t="s">
        <v>275</v>
      </c>
      <c r="O63" s="20" t="s">
        <v>276</v>
      </c>
      <c r="Q63" s="20">
        <v>26.5</v>
      </c>
      <c r="R63" s="20">
        <v>67.0</v>
      </c>
      <c r="S63" s="20">
        <v>302.43</v>
      </c>
      <c r="T63" s="20">
        <v>30.23</v>
      </c>
      <c r="U63" s="22">
        <f t="shared" si="4"/>
        <v>0.5276130329</v>
      </c>
      <c r="V63" s="22">
        <f t="shared" si="5"/>
        <v>0.02403677984</v>
      </c>
    </row>
    <row r="64">
      <c r="A64" s="18" t="s">
        <v>277</v>
      </c>
      <c r="F64" s="18" t="s">
        <v>278</v>
      </c>
      <c r="L64" s="20" t="s">
        <v>279</v>
      </c>
      <c r="M64" s="20">
        <v>77.0</v>
      </c>
      <c r="N64" s="20" t="s">
        <v>280</v>
      </c>
      <c r="O64" s="20" t="s">
        <v>281</v>
      </c>
      <c r="Q64" s="20">
        <v>27.0</v>
      </c>
      <c r="R64" s="20">
        <v>68.0</v>
      </c>
      <c r="S64" s="20">
        <v>302.87</v>
      </c>
      <c r="T64" s="20">
        <v>30.67</v>
      </c>
      <c r="U64" s="22">
        <f t="shared" si="4"/>
        <v>0.5352924816</v>
      </c>
      <c r="V64" s="22">
        <f t="shared" si="5"/>
        <v>0.02435284236</v>
      </c>
    </row>
    <row r="65">
      <c r="A65" s="18" t="s">
        <v>282</v>
      </c>
      <c r="F65" s="18" t="s">
        <v>283</v>
      </c>
      <c r="L65" s="20" t="s">
        <v>284</v>
      </c>
      <c r="M65" s="20">
        <v>79.0</v>
      </c>
      <c r="N65" s="20" t="s">
        <v>285</v>
      </c>
      <c r="O65" s="20" t="s">
        <v>286</v>
      </c>
      <c r="Q65" s="20">
        <v>27.5</v>
      </c>
      <c r="R65" s="20">
        <v>70.0</v>
      </c>
      <c r="S65" s="20">
        <v>304.89</v>
      </c>
      <c r="T65" s="20">
        <v>32.7</v>
      </c>
      <c r="U65" s="22">
        <f t="shared" si="4"/>
        <v>0.5707226654</v>
      </c>
      <c r="V65" s="22">
        <f t="shared" si="5"/>
        <v>0.02579215338</v>
      </c>
    </row>
    <row r="66">
      <c r="A66" s="18" t="s">
        <v>287</v>
      </c>
      <c r="F66" s="18" t="s">
        <v>288</v>
      </c>
      <c r="L66" s="20" t="s">
        <v>289</v>
      </c>
      <c r="M66" s="20">
        <v>80.0</v>
      </c>
      <c r="N66" s="20" t="s">
        <v>290</v>
      </c>
      <c r="O66" s="20" t="s">
        <v>291</v>
      </c>
      <c r="Q66" s="20">
        <v>28.0</v>
      </c>
      <c r="R66" s="20">
        <v>71.0</v>
      </c>
      <c r="S66" s="20">
        <v>309.64</v>
      </c>
      <c r="T66" s="20">
        <v>37.44</v>
      </c>
      <c r="U66" s="22">
        <f t="shared" si="4"/>
        <v>0.6534512719</v>
      </c>
      <c r="V66" s="22">
        <f t="shared" si="5"/>
        <v>0.02902380827</v>
      </c>
    </row>
    <row r="67">
      <c r="A67" s="18" t="s">
        <v>292</v>
      </c>
      <c r="F67" s="18" t="s">
        <v>293</v>
      </c>
      <c r="L67" s="20" t="s">
        <v>294</v>
      </c>
      <c r="M67" s="20">
        <v>81.0</v>
      </c>
      <c r="N67" s="20" t="s">
        <v>295</v>
      </c>
      <c r="O67" s="20" t="s">
        <v>296</v>
      </c>
      <c r="Q67" s="20">
        <v>28.5</v>
      </c>
      <c r="R67" s="20">
        <v>72.0</v>
      </c>
      <c r="S67" s="20">
        <v>309.9</v>
      </c>
      <c r="T67" s="20">
        <v>37.71</v>
      </c>
      <c r="U67" s="22">
        <f t="shared" si="4"/>
        <v>0.6581636609</v>
      </c>
      <c r="V67" s="22">
        <f t="shared" si="5"/>
        <v>0.02920211642</v>
      </c>
    </row>
    <row r="68">
      <c r="A68" s="18" t="s">
        <v>297</v>
      </c>
      <c r="F68" s="18" t="s">
        <v>298</v>
      </c>
      <c r="L68" s="20" t="s">
        <v>299</v>
      </c>
      <c r="M68" s="20">
        <v>82.0</v>
      </c>
      <c r="N68" s="20" t="s">
        <v>300</v>
      </c>
      <c r="O68" s="20" t="s">
        <v>301</v>
      </c>
      <c r="Q68" s="20">
        <v>29.0</v>
      </c>
      <c r="R68" s="20">
        <v>73.0</v>
      </c>
      <c r="S68" s="20">
        <v>310.52</v>
      </c>
      <c r="T68" s="20">
        <v>38.32</v>
      </c>
      <c r="U68" s="22">
        <f t="shared" si="4"/>
        <v>0.6688101694</v>
      </c>
      <c r="V68" s="22">
        <f t="shared" si="5"/>
        <v>0.02960256711</v>
      </c>
    </row>
    <row r="69">
      <c r="A69" s="18" t="s">
        <v>302</v>
      </c>
      <c r="F69" s="18" t="s">
        <v>303</v>
      </c>
      <c r="L69" s="20" t="s">
        <v>304</v>
      </c>
      <c r="M69" s="20">
        <v>84.0</v>
      </c>
      <c r="N69" s="20" t="s">
        <v>305</v>
      </c>
      <c r="O69" s="20" t="s">
        <v>306</v>
      </c>
      <c r="Q69" s="20">
        <v>29.5</v>
      </c>
      <c r="R69" s="20">
        <v>75.0</v>
      </c>
      <c r="S69" s="20">
        <v>313.07</v>
      </c>
      <c r="T69" s="20">
        <v>40.87</v>
      </c>
      <c r="U69" s="22">
        <f t="shared" si="4"/>
        <v>0.7133160653</v>
      </c>
      <c r="V69" s="22">
        <f t="shared" si="5"/>
        <v>0.03123973708</v>
      </c>
    </row>
    <row r="70">
      <c r="A70" s="18" t="s">
        <v>307</v>
      </c>
      <c r="F70" s="18" t="s">
        <v>308</v>
      </c>
      <c r="L70" s="20" t="s">
        <v>309</v>
      </c>
      <c r="M70" s="20">
        <v>85.0</v>
      </c>
      <c r="N70" s="20" t="s">
        <v>310</v>
      </c>
      <c r="O70" s="20" t="s">
        <v>311</v>
      </c>
      <c r="Q70" s="20">
        <v>30.0</v>
      </c>
      <c r="R70" s="20">
        <v>76.0</v>
      </c>
      <c r="S70" s="20">
        <v>315.26</v>
      </c>
      <c r="T70" s="20">
        <v>43.07</v>
      </c>
      <c r="U70" s="22">
        <f t="shared" si="4"/>
        <v>0.7517133088</v>
      </c>
      <c r="V70" s="22">
        <f t="shared" si="5"/>
        <v>0.03260259969</v>
      </c>
    </row>
    <row r="71">
      <c r="A71" s="18" t="s">
        <v>312</v>
      </c>
      <c r="F71" s="18" t="s">
        <v>313</v>
      </c>
      <c r="L71" s="20" t="s">
        <v>314</v>
      </c>
      <c r="M71" s="20">
        <v>86.0</v>
      </c>
      <c r="N71" s="20" t="s">
        <v>315</v>
      </c>
      <c r="O71" s="20" t="s">
        <v>316</v>
      </c>
      <c r="Q71" s="20">
        <v>30.5</v>
      </c>
      <c r="R71" s="20">
        <v>77.0</v>
      </c>
      <c r="S71" s="20">
        <v>315.35</v>
      </c>
      <c r="T71" s="20">
        <v>43.15</v>
      </c>
      <c r="U71" s="22">
        <f t="shared" si="4"/>
        <v>0.7531095722</v>
      </c>
      <c r="V71" s="22">
        <f t="shared" si="5"/>
        <v>0.03265126465</v>
      </c>
    </row>
    <row r="72">
      <c r="A72" s="18" t="s">
        <v>317</v>
      </c>
      <c r="F72" s="18" t="s">
        <v>318</v>
      </c>
      <c r="L72" s="20" t="s">
        <v>319</v>
      </c>
      <c r="M72" s="20">
        <v>87.0</v>
      </c>
      <c r="N72" s="20" t="s">
        <v>320</v>
      </c>
      <c r="O72" s="20" t="s">
        <v>321</v>
      </c>
      <c r="Q72" s="20">
        <v>31.0</v>
      </c>
      <c r="R72" s="20">
        <v>79.0</v>
      </c>
      <c r="S72" s="20">
        <v>317.11</v>
      </c>
      <c r="T72" s="20">
        <v>44.91</v>
      </c>
      <c r="U72" s="22">
        <f t="shared" si="4"/>
        <v>0.7838273671</v>
      </c>
      <c r="V72" s="22">
        <f t="shared" si="5"/>
        <v>0.03370562229</v>
      </c>
    </row>
    <row r="73">
      <c r="A73" s="18" t="s">
        <v>322</v>
      </c>
      <c r="F73" s="18" t="s">
        <v>323</v>
      </c>
      <c r="L73" s="20" t="s">
        <v>324</v>
      </c>
      <c r="M73" s="20">
        <v>89.0</v>
      </c>
      <c r="N73" s="20" t="s">
        <v>325</v>
      </c>
      <c r="O73" s="20" t="s">
        <v>326</v>
      </c>
      <c r="Q73" s="20">
        <v>31.5</v>
      </c>
      <c r="R73" s="20">
        <v>80.0</v>
      </c>
      <c r="S73" s="20">
        <v>319.75</v>
      </c>
      <c r="T73" s="20">
        <v>47.55</v>
      </c>
      <c r="U73" s="22">
        <f t="shared" si="4"/>
        <v>0.8299040593</v>
      </c>
      <c r="V73" s="22">
        <f t="shared" si="5"/>
        <v>0.03522722816</v>
      </c>
    </row>
    <row r="74">
      <c r="A74" s="18" t="s">
        <v>327</v>
      </c>
      <c r="F74" s="18" t="s">
        <v>328</v>
      </c>
      <c r="L74" s="20" t="s">
        <v>329</v>
      </c>
      <c r="M74" s="20">
        <v>90.0</v>
      </c>
      <c r="N74" s="20" t="s">
        <v>330</v>
      </c>
      <c r="O74" s="20" t="s">
        <v>331</v>
      </c>
      <c r="Q74" s="20">
        <v>32.0</v>
      </c>
      <c r="R74" s="20">
        <v>81.0</v>
      </c>
      <c r="S74" s="20">
        <v>320.63</v>
      </c>
      <c r="T74" s="20">
        <v>48.43</v>
      </c>
      <c r="U74" s="22">
        <f t="shared" si="4"/>
        <v>0.8452629567</v>
      </c>
      <c r="V74" s="22">
        <f t="shared" si="5"/>
        <v>0.03571796814</v>
      </c>
    </row>
    <row r="75">
      <c r="A75" s="18" t="s">
        <v>332</v>
      </c>
      <c r="F75" s="18" t="s">
        <v>333</v>
      </c>
      <c r="L75" s="20" t="s">
        <v>334</v>
      </c>
      <c r="M75" s="20">
        <v>91.0</v>
      </c>
      <c r="N75" s="20" t="s">
        <v>335</v>
      </c>
      <c r="O75" s="20" t="s">
        <v>336</v>
      </c>
      <c r="Q75" s="20">
        <v>32.5</v>
      </c>
      <c r="R75" s="20">
        <v>82.0</v>
      </c>
      <c r="S75" s="20">
        <v>321.68</v>
      </c>
      <c r="T75" s="20">
        <v>49.48</v>
      </c>
      <c r="U75" s="22">
        <f t="shared" si="4"/>
        <v>0.8635889139</v>
      </c>
      <c r="V75" s="22">
        <f t="shared" si="5"/>
        <v>0.03629247628</v>
      </c>
    </row>
    <row r="76">
      <c r="A76" s="18" t="s">
        <v>337</v>
      </c>
      <c r="F76" s="18" t="s">
        <v>338</v>
      </c>
      <c r="L76" s="20" t="s">
        <v>339</v>
      </c>
      <c r="M76" s="20">
        <v>93.0</v>
      </c>
      <c r="N76" s="20" t="s">
        <v>340</v>
      </c>
      <c r="O76" s="20" t="s">
        <v>341</v>
      </c>
      <c r="Q76" s="20">
        <v>33.0</v>
      </c>
      <c r="R76" s="20">
        <v>84.0</v>
      </c>
      <c r="S76" s="20">
        <v>324.4</v>
      </c>
      <c r="T76" s="20">
        <v>52.21</v>
      </c>
      <c r="U76" s="22">
        <f t="shared" si="4"/>
        <v>0.9112364025</v>
      </c>
      <c r="V76" s="22">
        <f t="shared" si="5"/>
        <v>0.03772868711</v>
      </c>
    </row>
    <row r="77">
      <c r="A77" s="18" t="s">
        <v>342</v>
      </c>
      <c r="F77" s="18" t="s">
        <v>343</v>
      </c>
      <c r="L77" s="20" t="s">
        <v>344</v>
      </c>
      <c r="M77" s="20">
        <v>94.0</v>
      </c>
      <c r="N77" s="20" t="s">
        <v>345</v>
      </c>
      <c r="O77" s="20" t="s">
        <v>346</v>
      </c>
      <c r="Q77" s="20">
        <v>33.5</v>
      </c>
      <c r="R77" s="20">
        <v>85.0</v>
      </c>
      <c r="S77" s="20">
        <v>327.83</v>
      </c>
      <c r="T77" s="20">
        <v>55.63</v>
      </c>
      <c r="U77" s="22">
        <f t="shared" si="4"/>
        <v>0.9709266629</v>
      </c>
      <c r="V77" s="22">
        <f t="shared" si="5"/>
        <v>0.03940668608</v>
      </c>
    </row>
    <row r="78">
      <c r="A78" s="18" t="s">
        <v>347</v>
      </c>
      <c r="F78" s="18" t="s">
        <v>348</v>
      </c>
      <c r="L78" s="20" t="s">
        <v>349</v>
      </c>
      <c r="M78" s="20">
        <v>95.0</v>
      </c>
      <c r="N78" s="20" t="s">
        <v>350</v>
      </c>
      <c r="O78" s="20" t="s">
        <v>351</v>
      </c>
      <c r="Q78" s="20">
        <v>34.0</v>
      </c>
      <c r="R78" s="20">
        <v>86.0</v>
      </c>
      <c r="S78" s="20">
        <v>327.92</v>
      </c>
      <c r="T78" s="20">
        <v>55.72</v>
      </c>
      <c r="U78" s="22">
        <f t="shared" si="4"/>
        <v>0.9724974592</v>
      </c>
      <c r="V78" s="22">
        <f t="shared" si="5"/>
        <v>0.03944897359</v>
      </c>
    </row>
    <row r="79">
      <c r="A79" s="18" t="s">
        <v>352</v>
      </c>
      <c r="F79" s="19"/>
      <c r="L79" s="20" t="s">
        <v>353</v>
      </c>
      <c r="M79" s="20">
        <v>96.0</v>
      </c>
      <c r="N79" s="20" t="s">
        <v>354</v>
      </c>
      <c r="O79" s="20" t="s">
        <v>355</v>
      </c>
      <c r="Q79" s="20">
        <v>34.5</v>
      </c>
      <c r="R79" s="20">
        <v>87.0</v>
      </c>
      <c r="S79" s="20">
        <v>328.8</v>
      </c>
      <c r="T79" s="20">
        <v>56.6</v>
      </c>
      <c r="U79" s="22">
        <f t="shared" si="4"/>
        <v>0.9878563566</v>
      </c>
      <c r="V79" s="22">
        <f t="shared" si="5"/>
        <v>0.03985730669</v>
      </c>
    </row>
    <row r="80">
      <c r="Q80" s="20">
        <v>35.0</v>
      </c>
      <c r="R80" s="20">
        <v>89.0</v>
      </c>
      <c r="S80" s="20">
        <v>331.44</v>
      </c>
      <c r="T80" s="20">
        <v>59.24</v>
      </c>
      <c r="U80" s="22">
        <f t="shared" si="4"/>
        <v>1.033933049</v>
      </c>
      <c r="V80" s="22">
        <f t="shared" si="5"/>
        <v>0.0410255199</v>
      </c>
    </row>
    <row r="81">
      <c r="Q81" s="20">
        <v>35.5</v>
      </c>
      <c r="R81" s="20">
        <v>90.0</v>
      </c>
      <c r="S81" s="20">
        <v>335.04</v>
      </c>
      <c r="T81" s="20">
        <v>62.84</v>
      </c>
      <c r="U81" s="22">
        <f t="shared" si="4"/>
        <v>1.096764902</v>
      </c>
      <c r="V81" s="22">
        <f t="shared" si="5"/>
        <v>0.04247774131</v>
      </c>
    </row>
    <row r="82">
      <c r="Q82" s="20">
        <v>36.0</v>
      </c>
      <c r="R82" s="20">
        <v>91.0</v>
      </c>
      <c r="S82" s="20">
        <v>337.24</v>
      </c>
      <c r="T82" s="20">
        <v>65.04</v>
      </c>
      <c r="U82" s="22">
        <f t="shared" si="4"/>
        <v>1.135162145</v>
      </c>
      <c r="V82" s="22">
        <f t="shared" si="5"/>
        <v>0.04328302178</v>
      </c>
    </row>
    <row r="83">
      <c r="Q83" s="20">
        <v>36.5</v>
      </c>
      <c r="R83" s="20">
        <v>93.0</v>
      </c>
      <c r="S83" s="20">
        <v>337.94</v>
      </c>
      <c r="T83" s="20">
        <v>65.74</v>
      </c>
      <c r="U83" s="22">
        <f t="shared" si="4"/>
        <v>1.14737945</v>
      </c>
      <c r="V83" s="22">
        <f t="shared" si="5"/>
        <v>0.04352592049</v>
      </c>
    </row>
    <row r="84">
      <c r="Q84" s="20">
        <v>37.0</v>
      </c>
      <c r="R84" s="20">
        <v>94.0</v>
      </c>
      <c r="S84" s="20">
        <v>340.66</v>
      </c>
      <c r="T84" s="20">
        <v>68.47</v>
      </c>
      <c r="U84" s="22">
        <f t="shared" si="4"/>
        <v>1.195026939</v>
      </c>
      <c r="V84" s="22">
        <f t="shared" si="5"/>
        <v>0.04441082777</v>
      </c>
    </row>
    <row r="85">
      <c r="Q85" s="20">
        <v>37.5</v>
      </c>
      <c r="R85" s="20">
        <v>95.0</v>
      </c>
      <c r="S85" s="20">
        <v>343.39</v>
      </c>
      <c r="T85" s="20">
        <v>71.19</v>
      </c>
      <c r="U85" s="22">
        <f t="shared" si="4"/>
        <v>1.242499894</v>
      </c>
      <c r="V85" s="22">
        <f t="shared" si="5"/>
        <v>0.04519224299</v>
      </c>
    </row>
    <row r="86">
      <c r="Q86" s="20">
        <v>38.0</v>
      </c>
      <c r="R86" s="20">
        <v>96.0</v>
      </c>
      <c r="S86" s="20">
        <v>353.5</v>
      </c>
      <c r="T86" s="20">
        <v>81.3</v>
      </c>
      <c r="U86" s="22">
        <f t="shared" si="4"/>
        <v>1.418952682</v>
      </c>
      <c r="V86" s="22">
        <f t="shared" si="5"/>
        <v>0.04719267514</v>
      </c>
    </row>
  </sheetData>
  <mergeCells count="2">
    <mergeCell ref="Q2:T2"/>
    <mergeCell ref="V2:X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356</v>
      </c>
      <c r="B1" s="20" t="s">
        <v>24</v>
      </c>
      <c r="C1" s="20" t="s">
        <v>52</v>
      </c>
    </row>
    <row r="2">
      <c r="A2" s="20">
        <v>25.0</v>
      </c>
      <c r="B2" s="20">
        <v>63.0</v>
      </c>
      <c r="C2" s="20">
        <v>0.0</v>
      </c>
    </row>
    <row r="3">
      <c r="A3" s="20">
        <v>25.0</v>
      </c>
      <c r="B3" s="20">
        <v>63.0</v>
      </c>
      <c r="C3" s="20">
        <v>0.0</v>
      </c>
    </row>
    <row r="4">
      <c r="A4" s="20">
        <v>25.0</v>
      </c>
      <c r="B4" s="20">
        <v>63.0</v>
      </c>
      <c r="C4" s="20">
        <v>0.0</v>
      </c>
    </row>
    <row r="5">
      <c r="A5" s="20">
        <v>25.0</v>
      </c>
      <c r="B5" s="20">
        <v>63.0</v>
      </c>
      <c r="C5" s="20">
        <v>0.0</v>
      </c>
    </row>
    <row r="6">
      <c r="A6" s="20">
        <v>25.0</v>
      </c>
      <c r="B6" s="20">
        <v>63.0</v>
      </c>
      <c r="C6" s="20">
        <v>0.0</v>
      </c>
    </row>
    <row r="7">
      <c r="A7" s="20">
        <v>25.0</v>
      </c>
      <c r="B7" s="20">
        <v>63.0</v>
      </c>
      <c r="C7" s="20">
        <v>0.09</v>
      </c>
    </row>
    <row r="8">
      <c r="A8" s="20">
        <v>25.0</v>
      </c>
      <c r="B8" s="20">
        <v>63.0</v>
      </c>
      <c r="C8" s="20">
        <v>0.18</v>
      </c>
    </row>
    <row r="9">
      <c r="A9" s="20">
        <v>25.0</v>
      </c>
      <c r="B9" s="20">
        <v>63.0</v>
      </c>
      <c r="C9" s="20">
        <v>0.97</v>
      </c>
    </row>
    <row r="10">
      <c r="A10" s="20">
        <v>25.0</v>
      </c>
      <c r="B10" s="20">
        <v>63.0</v>
      </c>
      <c r="C10" s="20">
        <v>4.04</v>
      </c>
    </row>
    <row r="11">
      <c r="A11" s="20">
        <v>25.0</v>
      </c>
      <c r="B11" s="20">
        <v>63.0</v>
      </c>
      <c r="C11" s="20">
        <v>10.46</v>
      </c>
    </row>
    <row r="12">
      <c r="A12" s="20">
        <v>25.0</v>
      </c>
      <c r="B12" s="20">
        <v>63.0</v>
      </c>
      <c r="C12" s="20">
        <v>18.9</v>
      </c>
    </row>
    <row r="13">
      <c r="A13" s="20">
        <v>25.0</v>
      </c>
      <c r="B13" s="20">
        <v>63.0</v>
      </c>
      <c r="C13" s="20">
        <v>28.39</v>
      </c>
    </row>
    <row r="14">
      <c r="A14" s="20">
        <v>25.0</v>
      </c>
      <c r="B14" s="20">
        <v>63.0</v>
      </c>
      <c r="C14" s="20">
        <v>37.44</v>
      </c>
    </row>
    <row r="15">
      <c r="A15" s="20">
        <v>25.0</v>
      </c>
      <c r="B15" s="20">
        <v>63.0</v>
      </c>
      <c r="C15" s="20">
        <v>44.38</v>
      </c>
    </row>
    <row r="16">
      <c r="A16" s="20">
        <v>25.0</v>
      </c>
      <c r="B16" s="20">
        <v>63.0</v>
      </c>
      <c r="C16" s="20">
        <v>48.6</v>
      </c>
    </row>
    <row r="17">
      <c r="A17" s="20">
        <v>25.0</v>
      </c>
      <c r="B17" s="20">
        <v>63.0</v>
      </c>
      <c r="C17" s="20">
        <v>49.13</v>
      </c>
    </row>
    <row r="18">
      <c r="A18" s="20">
        <v>25.0</v>
      </c>
      <c r="B18" s="20">
        <v>63.0</v>
      </c>
      <c r="C18" s="20">
        <v>47.81</v>
      </c>
    </row>
    <row r="19">
      <c r="A19" s="20">
        <v>25.0</v>
      </c>
      <c r="B19" s="20">
        <v>63.0</v>
      </c>
      <c r="C19" s="20">
        <v>46.49</v>
      </c>
    </row>
    <row r="20">
      <c r="A20" s="20">
        <v>25.0</v>
      </c>
      <c r="B20" s="20">
        <v>63.0</v>
      </c>
      <c r="C20" s="20">
        <v>46.05</v>
      </c>
    </row>
    <row r="21">
      <c r="A21" s="20">
        <v>25.0</v>
      </c>
      <c r="B21" s="20">
        <v>63.0</v>
      </c>
      <c r="C21" s="20">
        <v>46.14</v>
      </c>
    </row>
    <row r="22">
      <c r="A22" s="20">
        <v>25.0</v>
      </c>
      <c r="B22" s="20">
        <v>63.0</v>
      </c>
      <c r="C22" s="20">
        <v>46.49</v>
      </c>
    </row>
    <row r="23">
      <c r="A23" s="20">
        <v>25.0</v>
      </c>
      <c r="B23" s="20">
        <v>63.0</v>
      </c>
      <c r="C23" s="20">
        <v>46.49</v>
      </c>
    </row>
    <row r="24">
      <c r="A24" s="20">
        <v>25.0</v>
      </c>
      <c r="B24" s="20">
        <v>63.0</v>
      </c>
      <c r="C24" s="20">
        <v>46.49</v>
      </c>
    </row>
    <row r="25">
      <c r="A25" s="20">
        <v>25.0</v>
      </c>
      <c r="B25" s="20">
        <v>63.0</v>
      </c>
      <c r="C25" s="20">
        <v>46.58</v>
      </c>
    </row>
    <row r="26">
      <c r="A26" s="20">
        <v>25.0</v>
      </c>
      <c r="B26" s="20">
        <v>63.0</v>
      </c>
      <c r="C26" s="20">
        <v>46.67</v>
      </c>
    </row>
    <row r="27">
      <c r="A27" s="20">
        <v>25.0</v>
      </c>
      <c r="B27" s="20">
        <v>63.0</v>
      </c>
      <c r="C27" s="20">
        <v>46.67</v>
      </c>
    </row>
    <row r="28">
      <c r="A28" s="20">
        <v>25.0</v>
      </c>
      <c r="B28" s="20">
        <v>63.0</v>
      </c>
      <c r="C28" s="20">
        <v>46.76</v>
      </c>
    </row>
    <row r="29">
      <c r="A29" s="20">
        <v>25.0</v>
      </c>
      <c r="B29" s="20">
        <v>63.0</v>
      </c>
      <c r="C29" s="20">
        <v>46.85</v>
      </c>
    </row>
    <row r="30">
      <c r="A30" s="20">
        <v>25.0</v>
      </c>
      <c r="B30" s="20">
        <v>63.0</v>
      </c>
      <c r="C30" s="20">
        <v>46.85</v>
      </c>
    </row>
    <row r="31">
      <c r="A31" s="20">
        <v>25.0</v>
      </c>
      <c r="B31" s="20">
        <v>63.0</v>
      </c>
      <c r="C31" s="20">
        <v>46.93</v>
      </c>
    </row>
    <row r="32">
      <c r="A32" s="20">
        <v>25.0</v>
      </c>
      <c r="B32" s="20">
        <v>63.0</v>
      </c>
      <c r="C32" s="20">
        <v>46.93</v>
      </c>
    </row>
    <row r="33">
      <c r="A33" s="20">
        <v>25.0</v>
      </c>
      <c r="B33" s="20">
        <v>63.0</v>
      </c>
      <c r="C33" s="20">
        <v>46.85</v>
      </c>
    </row>
    <row r="34">
      <c r="A34" s="20">
        <v>25.0</v>
      </c>
      <c r="B34" s="20">
        <v>63.0</v>
      </c>
      <c r="C34" s="20">
        <v>46.93</v>
      </c>
    </row>
    <row r="35">
      <c r="A35" s="20">
        <v>25.0</v>
      </c>
      <c r="B35" s="20">
        <v>63.0</v>
      </c>
      <c r="C35" s="20">
        <v>46.85</v>
      </c>
    </row>
    <row r="36">
      <c r="A36" s="20">
        <v>25.0</v>
      </c>
      <c r="B36" s="20">
        <v>63.0</v>
      </c>
      <c r="C36" s="20">
        <v>46.93</v>
      </c>
    </row>
    <row r="37">
      <c r="A37" s="20">
        <v>25.0</v>
      </c>
      <c r="B37" s="20">
        <v>63.0</v>
      </c>
      <c r="C37" s="20">
        <v>46.93</v>
      </c>
    </row>
    <row r="38">
      <c r="A38" s="20">
        <v>25.0</v>
      </c>
      <c r="B38" s="20">
        <v>63.0</v>
      </c>
      <c r="C38" s="20">
        <v>46.85</v>
      </c>
    </row>
    <row r="39">
      <c r="A39" s="20">
        <v>25.0</v>
      </c>
      <c r="B39" s="20">
        <v>63.0</v>
      </c>
      <c r="C39" s="20">
        <v>46.93</v>
      </c>
    </row>
    <row r="40">
      <c r="A40" s="20">
        <v>25.0</v>
      </c>
      <c r="B40" s="20">
        <v>63.0</v>
      </c>
      <c r="C40" s="20">
        <v>46.93</v>
      </c>
    </row>
    <row r="41">
      <c r="A41" s="20">
        <v>25.0</v>
      </c>
      <c r="B41" s="20">
        <v>63.0</v>
      </c>
      <c r="C41" s="20">
        <v>46.93</v>
      </c>
    </row>
    <row r="42">
      <c r="A42" s="20">
        <v>25.0</v>
      </c>
      <c r="B42" s="20">
        <v>63.0</v>
      </c>
      <c r="C42" s="20">
        <v>46.93</v>
      </c>
    </row>
    <row r="43">
      <c r="A43" s="20">
        <v>25.0</v>
      </c>
      <c r="B43" s="20">
        <v>63.0</v>
      </c>
      <c r="C43" s="20">
        <v>47.02</v>
      </c>
    </row>
    <row r="44">
      <c r="A44" s="20">
        <v>25.0</v>
      </c>
      <c r="B44" s="20">
        <v>63.0</v>
      </c>
      <c r="C44" s="20">
        <v>46.93</v>
      </c>
    </row>
    <row r="45">
      <c r="A45" s="20">
        <v>25.0</v>
      </c>
      <c r="B45" s="20">
        <v>63.0</v>
      </c>
      <c r="C45" s="20">
        <v>46.93</v>
      </c>
    </row>
    <row r="46">
      <c r="A46" s="20">
        <v>25.0</v>
      </c>
      <c r="B46" s="20">
        <v>63.0</v>
      </c>
      <c r="C46" s="20">
        <v>46.93</v>
      </c>
    </row>
    <row r="47">
      <c r="A47" s="20">
        <v>25.0</v>
      </c>
      <c r="B47" s="20">
        <v>63.0</v>
      </c>
      <c r="C47" s="20">
        <v>46.93</v>
      </c>
    </row>
    <row r="48">
      <c r="A48" s="20">
        <v>25.0</v>
      </c>
      <c r="B48" s="20">
        <v>63.0</v>
      </c>
      <c r="C48" s="20">
        <v>46.93</v>
      </c>
    </row>
    <row r="49">
      <c r="A49" s="20">
        <v>25.0</v>
      </c>
      <c r="B49" s="20">
        <v>63.0</v>
      </c>
      <c r="C49" s="20">
        <v>46.93</v>
      </c>
    </row>
    <row r="50">
      <c r="A50" s="20">
        <v>25.0</v>
      </c>
      <c r="B50" s="20">
        <v>63.0</v>
      </c>
      <c r="C50" s="20">
        <v>47.02</v>
      </c>
    </row>
    <row r="51">
      <c r="A51" s="20">
        <v>25.0</v>
      </c>
      <c r="B51" s="20">
        <v>63.0</v>
      </c>
      <c r="C51" s="20">
        <v>47.02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50</v>
      </c>
      <c r="B1" s="20" t="s">
        <v>24</v>
      </c>
      <c r="C1" s="20" t="s">
        <v>52</v>
      </c>
    </row>
    <row r="2">
      <c r="A2" s="20">
        <v>25.0</v>
      </c>
      <c r="B2" s="20">
        <v>63.0</v>
      </c>
      <c r="C2" s="20">
        <v>1.14</v>
      </c>
    </row>
    <row r="3">
      <c r="A3" s="20">
        <v>25.0</v>
      </c>
      <c r="B3" s="20">
        <v>63.0</v>
      </c>
      <c r="C3" s="20">
        <v>7.47</v>
      </c>
    </row>
    <row r="4">
      <c r="A4" s="20">
        <v>25.0</v>
      </c>
      <c r="B4" s="20">
        <v>63.0</v>
      </c>
      <c r="C4" s="20">
        <v>8.79</v>
      </c>
    </row>
    <row r="5">
      <c r="A5" s="20">
        <v>25.0</v>
      </c>
      <c r="B5" s="20">
        <v>63.0</v>
      </c>
      <c r="C5" s="20">
        <v>5.19</v>
      </c>
    </row>
    <row r="6">
      <c r="A6" s="20">
        <v>25.0</v>
      </c>
      <c r="B6" s="20">
        <v>63.0</v>
      </c>
      <c r="C6" s="20">
        <v>0.62</v>
      </c>
    </row>
    <row r="7">
      <c r="A7" s="20">
        <v>25.0</v>
      </c>
      <c r="B7" s="20">
        <v>63.0</v>
      </c>
      <c r="C7" s="20">
        <v>-4.39</v>
      </c>
    </row>
    <row r="8">
      <c r="A8" s="20">
        <v>25.0</v>
      </c>
      <c r="B8" s="20">
        <v>63.0</v>
      </c>
      <c r="C8" s="20">
        <v>-5.54</v>
      </c>
    </row>
    <row r="9">
      <c r="A9" s="20">
        <v>25.0</v>
      </c>
      <c r="B9" s="20">
        <v>63.0</v>
      </c>
      <c r="C9" s="20">
        <v>-3.87</v>
      </c>
    </row>
    <row r="10">
      <c r="A10" s="20">
        <v>25.0</v>
      </c>
      <c r="B10" s="20">
        <v>63.0</v>
      </c>
      <c r="C10" s="20">
        <v>-1.93</v>
      </c>
    </row>
    <row r="11">
      <c r="A11" s="20">
        <v>25.0</v>
      </c>
      <c r="B11" s="20">
        <v>63.0</v>
      </c>
      <c r="C11" s="20">
        <v>-0.62</v>
      </c>
    </row>
    <row r="12">
      <c r="A12" s="20">
        <v>25.0</v>
      </c>
      <c r="B12" s="20">
        <v>63.0</v>
      </c>
      <c r="C12" s="20">
        <v>-0.44</v>
      </c>
    </row>
    <row r="13">
      <c r="A13" s="20">
        <v>25.0</v>
      </c>
      <c r="B13" s="20">
        <v>63.0</v>
      </c>
      <c r="C13" s="20">
        <v>-0.7</v>
      </c>
    </row>
    <row r="14">
      <c r="A14" s="20">
        <v>25.0</v>
      </c>
      <c r="B14" s="20">
        <v>63.0</v>
      </c>
      <c r="C14" s="20">
        <v>-0.88</v>
      </c>
    </row>
    <row r="15">
      <c r="A15" s="20">
        <v>25.0</v>
      </c>
      <c r="B15" s="20">
        <v>63.0</v>
      </c>
      <c r="C15" s="20">
        <v>-1.05</v>
      </c>
    </row>
    <row r="16">
      <c r="A16" s="20">
        <v>25.0</v>
      </c>
      <c r="B16" s="20">
        <v>63.0</v>
      </c>
      <c r="C16" s="20">
        <v>-1.23</v>
      </c>
    </row>
    <row r="17">
      <c r="A17" s="20">
        <v>25.0</v>
      </c>
      <c r="B17" s="20">
        <v>63.0</v>
      </c>
      <c r="C17" s="20">
        <v>-1.58</v>
      </c>
    </row>
    <row r="18">
      <c r="A18" s="20">
        <v>25.0</v>
      </c>
      <c r="B18" s="20">
        <v>63.0</v>
      </c>
      <c r="C18" s="20">
        <v>-1.67</v>
      </c>
    </row>
    <row r="19">
      <c r="A19" s="20">
        <v>25.0</v>
      </c>
      <c r="B19" s="20">
        <v>63.0</v>
      </c>
      <c r="C19" s="20">
        <v>-0.7</v>
      </c>
    </row>
    <row r="20">
      <c r="A20" s="20">
        <v>25.0</v>
      </c>
      <c r="B20" s="20">
        <v>63.0</v>
      </c>
      <c r="C20" s="20">
        <v>2.46</v>
      </c>
    </row>
    <row r="21">
      <c r="A21" s="20">
        <v>25.0</v>
      </c>
      <c r="B21" s="20">
        <v>63.0</v>
      </c>
      <c r="C21" s="20">
        <v>9.23</v>
      </c>
    </row>
    <row r="22">
      <c r="A22" s="20">
        <v>25.0</v>
      </c>
      <c r="B22" s="20">
        <v>63.0</v>
      </c>
      <c r="C22" s="20">
        <v>17.75</v>
      </c>
    </row>
    <row r="23">
      <c r="A23" s="20">
        <v>25.0</v>
      </c>
      <c r="B23" s="20">
        <v>63.0</v>
      </c>
      <c r="C23" s="20">
        <v>26.81</v>
      </c>
    </row>
    <row r="24">
      <c r="A24" s="20">
        <v>25.0</v>
      </c>
      <c r="B24" s="20">
        <v>63.0</v>
      </c>
      <c r="C24" s="20">
        <v>35.86</v>
      </c>
    </row>
    <row r="25">
      <c r="A25" s="20">
        <v>25.0</v>
      </c>
      <c r="B25" s="20">
        <v>63.0</v>
      </c>
      <c r="C25" s="20">
        <v>43.07</v>
      </c>
    </row>
    <row r="26">
      <c r="A26" s="20">
        <v>25.0</v>
      </c>
      <c r="B26" s="20">
        <v>63.0</v>
      </c>
      <c r="C26" s="20">
        <v>48.25</v>
      </c>
    </row>
    <row r="27">
      <c r="A27" s="20">
        <v>25.0</v>
      </c>
      <c r="B27" s="20">
        <v>63.0</v>
      </c>
      <c r="C27" s="20">
        <v>49.92</v>
      </c>
    </row>
    <row r="28">
      <c r="A28" s="20">
        <v>25.0</v>
      </c>
      <c r="B28" s="20">
        <v>63.0</v>
      </c>
      <c r="C28" s="20">
        <v>49.04</v>
      </c>
    </row>
    <row r="29">
      <c r="A29" s="20">
        <v>25.0</v>
      </c>
      <c r="B29" s="20">
        <v>63.0</v>
      </c>
      <c r="C29" s="20">
        <v>47.46</v>
      </c>
    </row>
    <row r="30">
      <c r="A30" s="20">
        <v>25.0</v>
      </c>
      <c r="B30" s="20">
        <v>63.0</v>
      </c>
      <c r="C30" s="20">
        <v>46.67</v>
      </c>
    </row>
    <row r="31">
      <c r="A31" s="20">
        <v>25.0</v>
      </c>
      <c r="B31" s="20">
        <v>63.0</v>
      </c>
      <c r="C31" s="20">
        <v>46.76</v>
      </c>
    </row>
    <row r="32">
      <c r="A32" s="20">
        <v>25.0</v>
      </c>
      <c r="B32" s="20">
        <v>63.0</v>
      </c>
      <c r="C32" s="20">
        <v>47.29</v>
      </c>
    </row>
    <row r="33">
      <c r="A33" s="20">
        <v>25.0</v>
      </c>
      <c r="B33" s="20">
        <v>63.0</v>
      </c>
      <c r="C33" s="20">
        <v>47.46</v>
      </c>
    </row>
    <row r="34">
      <c r="A34" s="20">
        <v>25.0</v>
      </c>
      <c r="B34" s="20">
        <v>63.0</v>
      </c>
      <c r="C34" s="20">
        <v>47.29</v>
      </c>
    </row>
    <row r="35">
      <c r="A35" s="20">
        <v>25.0</v>
      </c>
      <c r="B35" s="20">
        <v>63.0</v>
      </c>
      <c r="C35" s="20">
        <v>47.2</v>
      </c>
    </row>
    <row r="36">
      <c r="A36" s="20">
        <v>25.0</v>
      </c>
      <c r="B36" s="20">
        <v>63.0</v>
      </c>
      <c r="C36" s="20">
        <v>47.37</v>
      </c>
    </row>
    <row r="37">
      <c r="A37" s="20">
        <v>25.0</v>
      </c>
      <c r="B37" s="20">
        <v>63.0</v>
      </c>
      <c r="C37" s="20">
        <v>47.37</v>
      </c>
    </row>
    <row r="38">
      <c r="A38" s="20">
        <v>25.0</v>
      </c>
      <c r="B38" s="20">
        <v>63.0</v>
      </c>
      <c r="C38" s="20">
        <v>47.29</v>
      </c>
    </row>
    <row r="39">
      <c r="A39" s="20">
        <v>25.0</v>
      </c>
      <c r="B39" s="20">
        <v>63.0</v>
      </c>
      <c r="C39" s="20">
        <v>47.29</v>
      </c>
    </row>
    <row r="40">
      <c r="A40" s="20">
        <v>25.0</v>
      </c>
      <c r="B40" s="20">
        <v>63.0</v>
      </c>
      <c r="C40" s="20">
        <v>47.37</v>
      </c>
    </row>
    <row r="41">
      <c r="A41" s="20">
        <v>25.0</v>
      </c>
      <c r="B41" s="20">
        <v>63.0</v>
      </c>
      <c r="C41" s="20">
        <v>47.37</v>
      </c>
    </row>
    <row r="42">
      <c r="A42" s="20">
        <v>25.0</v>
      </c>
      <c r="B42" s="20">
        <v>63.0</v>
      </c>
      <c r="C42" s="20">
        <v>47.29</v>
      </c>
    </row>
    <row r="43">
      <c r="A43" s="20">
        <v>25.0</v>
      </c>
      <c r="B43" s="20">
        <v>63.0</v>
      </c>
      <c r="C43" s="20">
        <v>47.29</v>
      </c>
    </row>
    <row r="44">
      <c r="A44" s="20">
        <v>25.0</v>
      </c>
      <c r="B44" s="20">
        <v>63.0</v>
      </c>
      <c r="C44" s="20">
        <v>47.37</v>
      </c>
    </row>
    <row r="45">
      <c r="A45" s="20">
        <v>25.0</v>
      </c>
      <c r="B45" s="20">
        <v>63.0</v>
      </c>
      <c r="C45" s="20">
        <v>47.37</v>
      </c>
    </row>
    <row r="46">
      <c r="A46" s="20">
        <v>25.0</v>
      </c>
      <c r="B46" s="20">
        <v>63.0</v>
      </c>
      <c r="C46" s="20">
        <v>47.37</v>
      </c>
    </row>
    <row r="47">
      <c r="A47" s="20">
        <v>25.0</v>
      </c>
      <c r="B47" s="20">
        <v>63.0</v>
      </c>
      <c r="C47" s="20">
        <v>47.37</v>
      </c>
    </row>
    <row r="48">
      <c r="A48" s="20">
        <v>25.0</v>
      </c>
      <c r="B48" s="20">
        <v>63.0</v>
      </c>
      <c r="C48" s="20">
        <v>47.37</v>
      </c>
    </row>
    <row r="49">
      <c r="A49" s="20">
        <v>25.0</v>
      </c>
      <c r="B49" s="20">
        <v>63.0</v>
      </c>
      <c r="C49" s="20">
        <v>47.37</v>
      </c>
    </row>
    <row r="50">
      <c r="A50" s="20">
        <v>25.0</v>
      </c>
      <c r="B50" s="20">
        <v>63.0</v>
      </c>
      <c r="C50" s="20">
        <v>47.46</v>
      </c>
    </row>
    <row r="51">
      <c r="A51" s="20">
        <v>25.0</v>
      </c>
      <c r="B51" s="20">
        <v>63.0</v>
      </c>
      <c r="C51" s="20">
        <v>47.37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50</v>
      </c>
      <c r="B1" s="20" t="s">
        <v>24</v>
      </c>
      <c r="C1" s="20" t="s">
        <v>52</v>
      </c>
    </row>
    <row r="2">
      <c r="A2" s="20" t="s">
        <v>357</v>
      </c>
      <c r="B2" s="20">
        <v>38.0</v>
      </c>
      <c r="C2" s="20">
        <v>8.17</v>
      </c>
    </row>
    <row r="3">
      <c r="A3" s="20" t="s">
        <v>358</v>
      </c>
      <c r="B3" s="20">
        <v>40.0</v>
      </c>
      <c r="C3" s="20">
        <v>16.96</v>
      </c>
    </row>
    <row r="4">
      <c r="A4" s="20" t="s">
        <v>359</v>
      </c>
      <c r="B4" s="20">
        <v>43.0</v>
      </c>
      <c r="C4" s="20">
        <v>19.86</v>
      </c>
    </row>
    <row r="5">
      <c r="A5" s="20" t="s">
        <v>360</v>
      </c>
      <c r="B5" s="20">
        <v>45.0</v>
      </c>
      <c r="C5" s="20">
        <v>20.92</v>
      </c>
    </row>
    <row r="6">
      <c r="A6" s="20" t="s">
        <v>361</v>
      </c>
      <c r="B6" s="20">
        <v>48.0</v>
      </c>
      <c r="C6" s="20">
        <v>21.36</v>
      </c>
    </row>
    <row r="7">
      <c r="A7" s="20" t="s">
        <v>362</v>
      </c>
      <c r="B7" s="20">
        <v>51.0</v>
      </c>
      <c r="C7" s="20">
        <v>21.36</v>
      </c>
    </row>
    <row r="8">
      <c r="A8" s="20" t="s">
        <v>363</v>
      </c>
      <c r="B8" s="20">
        <v>53.0</v>
      </c>
      <c r="C8" s="20">
        <v>21.45</v>
      </c>
    </row>
    <row r="9">
      <c r="A9" s="20" t="s">
        <v>364</v>
      </c>
      <c r="B9" s="20">
        <v>56.0</v>
      </c>
      <c r="C9" s="20">
        <v>33.84</v>
      </c>
    </row>
    <row r="10">
      <c r="A10" s="20" t="s">
        <v>365</v>
      </c>
      <c r="B10" s="20">
        <v>58.0</v>
      </c>
      <c r="C10" s="20">
        <v>36.3</v>
      </c>
    </row>
    <row r="11">
      <c r="A11" s="20" t="s">
        <v>366</v>
      </c>
      <c r="B11" s="20">
        <v>61.0</v>
      </c>
      <c r="C11" s="20">
        <v>41.66</v>
      </c>
    </row>
    <row r="12">
      <c r="A12" s="20" t="s">
        <v>367</v>
      </c>
      <c r="B12" s="20">
        <v>63.0</v>
      </c>
      <c r="C12" s="20">
        <v>44.47</v>
      </c>
    </row>
    <row r="13">
      <c r="A13" s="20" t="s">
        <v>368</v>
      </c>
      <c r="B13" s="20">
        <v>66.0</v>
      </c>
      <c r="C13" s="20">
        <v>48.78</v>
      </c>
    </row>
    <row r="14">
      <c r="A14" s="20" t="s">
        <v>369</v>
      </c>
      <c r="B14" s="20">
        <v>68.0</v>
      </c>
      <c r="C14" s="20">
        <v>51.59</v>
      </c>
    </row>
    <row r="15">
      <c r="A15" s="20" t="s">
        <v>370</v>
      </c>
      <c r="B15" s="20">
        <v>71.0</v>
      </c>
      <c r="C15" s="20">
        <v>58.27</v>
      </c>
    </row>
    <row r="16">
      <c r="A16" s="20" t="s">
        <v>371</v>
      </c>
      <c r="B16" s="20">
        <v>73.0</v>
      </c>
      <c r="C16" s="20">
        <v>60.91</v>
      </c>
    </row>
    <row r="17">
      <c r="A17" s="20" t="s">
        <v>372</v>
      </c>
      <c r="B17" s="20">
        <v>76.0</v>
      </c>
      <c r="C17" s="20">
        <v>64.6</v>
      </c>
    </row>
    <row r="18">
      <c r="A18" s="20" t="s">
        <v>373</v>
      </c>
      <c r="B18" s="20">
        <v>79.0</v>
      </c>
      <c r="C18" s="20">
        <v>70.05</v>
      </c>
    </row>
    <row r="19">
      <c r="A19" s="20" t="s">
        <v>374</v>
      </c>
      <c r="B19" s="20">
        <v>81.0</v>
      </c>
      <c r="C19" s="20">
        <v>70.14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50</v>
      </c>
      <c r="B1" s="20" t="s">
        <v>24</v>
      </c>
      <c r="C1" s="20" t="s">
        <v>51</v>
      </c>
      <c r="D1" s="20" t="s">
        <v>52</v>
      </c>
      <c r="E1" s="20" t="s">
        <v>53</v>
      </c>
    </row>
    <row r="2">
      <c r="A2" s="20">
        <v>0.0</v>
      </c>
      <c r="B2" s="20">
        <v>0.0</v>
      </c>
      <c r="C2" s="20">
        <v>272.2</v>
      </c>
      <c r="D2" s="20">
        <v>0.0</v>
      </c>
      <c r="E2" s="22">
        <f t="shared" ref="E2:E78" si="1">RADIANS(D2)</f>
        <v>0</v>
      </c>
    </row>
    <row r="3">
      <c r="A3" s="20">
        <v>0.5</v>
      </c>
      <c r="B3" s="20">
        <v>1.0</v>
      </c>
      <c r="C3" s="20">
        <v>272.2</v>
      </c>
      <c r="D3" s="20">
        <v>0.0</v>
      </c>
      <c r="E3" s="22">
        <f t="shared" si="1"/>
        <v>0</v>
      </c>
    </row>
    <row r="4">
      <c r="A4" s="20">
        <v>1.0</v>
      </c>
      <c r="B4" s="20">
        <v>2.0</v>
      </c>
      <c r="C4" s="20">
        <v>272.2</v>
      </c>
      <c r="D4" s="20">
        <v>0.0</v>
      </c>
      <c r="E4" s="22">
        <f t="shared" si="1"/>
        <v>0</v>
      </c>
    </row>
    <row r="5">
      <c r="A5" s="20">
        <v>1.5</v>
      </c>
      <c r="B5" s="20">
        <v>3.0</v>
      </c>
      <c r="C5" s="20">
        <v>272.2</v>
      </c>
      <c r="D5" s="20">
        <v>0.0</v>
      </c>
      <c r="E5" s="22">
        <f t="shared" si="1"/>
        <v>0</v>
      </c>
    </row>
    <row r="6">
      <c r="A6" s="20">
        <v>2.0</v>
      </c>
      <c r="B6" s="20">
        <v>5.0</v>
      </c>
      <c r="C6" s="20">
        <v>272.2</v>
      </c>
      <c r="D6" s="20">
        <v>0.0</v>
      </c>
      <c r="E6" s="22">
        <f t="shared" si="1"/>
        <v>0</v>
      </c>
    </row>
    <row r="7">
      <c r="A7" s="20">
        <v>2.5</v>
      </c>
      <c r="B7" s="20">
        <v>6.0</v>
      </c>
      <c r="C7" s="20">
        <v>272.2</v>
      </c>
      <c r="D7" s="20">
        <v>0.0</v>
      </c>
      <c r="E7" s="22">
        <f t="shared" si="1"/>
        <v>0</v>
      </c>
    </row>
    <row r="8">
      <c r="A8" s="20">
        <v>3.0</v>
      </c>
      <c r="B8" s="20">
        <v>7.0</v>
      </c>
      <c r="C8" s="20">
        <v>272.2</v>
      </c>
      <c r="D8" s="20">
        <v>0.0</v>
      </c>
      <c r="E8" s="22">
        <f t="shared" si="1"/>
        <v>0</v>
      </c>
    </row>
    <row r="9">
      <c r="A9" s="20">
        <v>3.5</v>
      </c>
      <c r="B9" s="20">
        <v>8.0</v>
      </c>
      <c r="C9" s="20">
        <v>272.2</v>
      </c>
      <c r="D9" s="20">
        <v>0.0</v>
      </c>
      <c r="E9" s="22">
        <f t="shared" si="1"/>
        <v>0</v>
      </c>
    </row>
    <row r="10">
      <c r="A10" s="20">
        <v>4.0</v>
      </c>
      <c r="B10" s="20">
        <v>10.0</v>
      </c>
      <c r="C10" s="20">
        <v>272.2</v>
      </c>
      <c r="D10" s="20">
        <v>0.0</v>
      </c>
      <c r="E10" s="22">
        <f t="shared" si="1"/>
        <v>0</v>
      </c>
    </row>
    <row r="11">
      <c r="A11" s="20">
        <v>4.5</v>
      </c>
      <c r="B11" s="20">
        <v>11.0</v>
      </c>
      <c r="C11" s="20">
        <v>272.2</v>
      </c>
      <c r="D11" s="20">
        <v>0.0</v>
      </c>
      <c r="E11" s="22">
        <f t="shared" si="1"/>
        <v>0</v>
      </c>
    </row>
    <row r="12">
      <c r="A12" s="20">
        <v>5.0</v>
      </c>
      <c r="B12" s="20">
        <v>12.0</v>
      </c>
      <c r="C12" s="20">
        <v>272.2</v>
      </c>
      <c r="D12" s="20">
        <v>0.0</v>
      </c>
      <c r="E12" s="22">
        <f t="shared" si="1"/>
        <v>0</v>
      </c>
    </row>
    <row r="13">
      <c r="A13" s="20">
        <v>5.5</v>
      </c>
      <c r="B13" s="20">
        <v>14.0</v>
      </c>
      <c r="C13" s="20">
        <v>272.2</v>
      </c>
      <c r="D13" s="20">
        <v>0.0</v>
      </c>
      <c r="E13" s="22">
        <f t="shared" si="1"/>
        <v>0</v>
      </c>
    </row>
    <row r="14">
      <c r="A14" s="20">
        <v>6.0</v>
      </c>
      <c r="B14" s="20">
        <v>15.0</v>
      </c>
      <c r="C14" s="20">
        <v>272.2</v>
      </c>
      <c r="D14" s="20">
        <v>0.0</v>
      </c>
      <c r="E14" s="22">
        <f t="shared" si="1"/>
        <v>0</v>
      </c>
    </row>
    <row r="15">
      <c r="A15" s="20">
        <v>6.5</v>
      </c>
      <c r="B15" s="20">
        <v>16.0</v>
      </c>
      <c r="C15" s="20">
        <v>272.2</v>
      </c>
      <c r="D15" s="20">
        <v>0.0</v>
      </c>
      <c r="E15" s="22">
        <f t="shared" si="1"/>
        <v>0</v>
      </c>
    </row>
    <row r="16">
      <c r="A16" s="20">
        <v>7.0</v>
      </c>
      <c r="B16" s="20">
        <v>17.0</v>
      </c>
      <c r="C16" s="20">
        <v>272.2</v>
      </c>
      <c r="D16" s="20">
        <v>0.0</v>
      </c>
      <c r="E16" s="22">
        <f t="shared" si="1"/>
        <v>0</v>
      </c>
    </row>
    <row r="17">
      <c r="A17" s="20">
        <v>7.5</v>
      </c>
      <c r="B17" s="20">
        <v>19.0</v>
      </c>
      <c r="C17" s="20">
        <v>272.2</v>
      </c>
      <c r="D17" s="20">
        <v>0.0</v>
      </c>
      <c r="E17" s="22">
        <f t="shared" si="1"/>
        <v>0</v>
      </c>
    </row>
    <row r="18">
      <c r="A18" s="20">
        <v>8.0</v>
      </c>
      <c r="B18" s="20">
        <v>20.0</v>
      </c>
      <c r="C18" s="20">
        <v>272.2</v>
      </c>
      <c r="D18" s="20">
        <v>0.0</v>
      </c>
      <c r="E18" s="22">
        <f t="shared" si="1"/>
        <v>0</v>
      </c>
    </row>
    <row r="19">
      <c r="A19" s="20">
        <v>8.5</v>
      </c>
      <c r="B19" s="20">
        <v>21.0</v>
      </c>
      <c r="C19" s="20">
        <v>272.2</v>
      </c>
      <c r="D19" s="20">
        <v>0.0</v>
      </c>
      <c r="E19" s="22">
        <f t="shared" si="1"/>
        <v>0</v>
      </c>
    </row>
    <row r="20">
      <c r="A20" s="20">
        <v>9.0</v>
      </c>
      <c r="B20" s="20">
        <v>22.0</v>
      </c>
      <c r="C20" s="20">
        <v>272.2</v>
      </c>
      <c r="D20" s="20">
        <v>0.0</v>
      </c>
      <c r="E20" s="22">
        <f t="shared" si="1"/>
        <v>0</v>
      </c>
    </row>
    <row r="21">
      <c r="A21" s="20">
        <v>9.5</v>
      </c>
      <c r="B21" s="20">
        <v>24.0</v>
      </c>
      <c r="C21" s="20">
        <v>272.2</v>
      </c>
      <c r="D21" s="20">
        <v>0.0</v>
      </c>
      <c r="E21" s="22">
        <f t="shared" si="1"/>
        <v>0</v>
      </c>
    </row>
    <row r="22">
      <c r="A22" s="20">
        <v>10.0</v>
      </c>
      <c r="B22" s="20">
        <v>25.0</v>
      </c>
      <c r="C22" s="20">
        <v>272.2</v>
      </c>
      <c r="D22" s="20">
        <v>0.0</v>
      </c>
      <c r="E22" s="22">
        <f t="shared" si="1"/>
        <v>0</v>
      </c>
    </row>
    <row r="23">
      <c r="A23" s="20">
        <v>10.5</v>
      </c>
      <c r="B23" s="20">
        <v>26.0</v>
      </c>
      <c r="C23" s="20">
        <v>272.55</v>
      </c>
      <c r="D23" s="20">
        <v>0.35</v>
      </c>
      <c r="E23" s="22">
        <f t="shared" si="1"/>
        <v>0.006108652382</v>
      </c>
    </row>
    <row r="24">
      <c r="A24" s="20">
        <v>11.0</v>
      </c>
      <c r="B24" s="20">
        <v>28.0</v>
      </c>
      <c r="C24" s="20">
        <v>272.46</v>
      </c>
      <c r="D24" s="20">
        <v>0.26</v>
      </c>
      <c r="E24" s="22">
        <f t="shared" si="1"/>
        <v>0.004537856055</v>
      </c>
    </row>
    <row r="25">
      <c r="A25" s="20">
        <v>11.5</v>
      </c>
      <c r="B25" s="20">
        <v>29.0</v>
      </c>
      <c r="C25" s="20">
        <v>272.64</v>
      </c>
      <c r="D25" s="20">
        <v>0.44</v>
      </c>
      <c r="E25" s="22">
        <f t="shared" si="1"/>
        <v>0.007679448709</v>
      </c>
    </row>
    <row r="26">
      <c r="A26" s="20">
        <v>12.0</v>
      </c>
      <c r="B26" s="20">
        <v>30.0</v>
      </c>
      <c r="C26" s="20">
        <v>273.08</v>
      </c>
      <c r="D26" s="20">
        <v>0.88</v>
      </c>
      <c r="E26" s="22">
        <f t="shared" si="1"/>
        <v>0.01535889742</v>
      </c>
    </row>
    <row r="27">
      <c r="A27" s="20">
        <v>12.5</v>
      </c>
      <c r="B27" s="20">
        <v>31.0</v>
      </c>
      <c r="C27" s="20">
        <v>273.43</v>
      </c>
      <c r="D27" s="20">
        <v>1.23</v>
      </c>
      <c r="E27" s="22">
        <f t="shared" si="1"/>
        <v>0.0214675498</v>
      </c>
    </row>
    <row r="28">
      <c r="A28" s="20">
        <v>13.0</v>
      </c>
      <c r="B28" s="20">
        <v>33.0</v>
      </c>
      <c r="C28" s="20">
        <v>275.1</v>
      </c>
      <c r="D28" s="20">
        <v>2.9</v>
      </c>
      <c r="E28" s="22">
        <f t="shared" si="1"/>
        <v>0.05061454831</v>
      </c>
    </row>
    <row r="29">
      <c r="A29" s="20">
        <v>13.5</v>
      </c>
      <c r="B29" s="20">
        <v>34.0</v>
      </c>
      <c r="C29" s="20">
        <v>276.68</v>
      </c>
      <c r="D29" s="20">
        <v>4.48</v>
      </c>
      <c r="E29" s="22">
        <f t="shared" si="1"/>
        <v>0.07819075049</v>
      </c>
    </row>
    <row r="30">
      <c r="A30" s="20">
        <v>14.0</v>
      </c>
      <c r="B30" s="20">
        <v>35.0</v>
      </c>
      <c r="C30" s="20">
        <v>276.68</v>
      </c>
      <c r="D30" s="20">
        <v>4.48</v>
      </c>
      <c r="E30" s="22">
        <f t="shared" si="1"/>
        <v>0.07819075049</v>
      </c>
    </row>
    <row r="31">
      <c r="A31" s="20">
        <v>14.5</v>
      </c>
      <c r="B31" s="20">
        <v>36.0</v>
      </c>
      <c r="C31" s="20">
        <v>276.68</v>
      </c>
      <c r="D31" s="20">
        <v>4.48</v>
      </c>
      <c r="E31" s="22">
        <f t="shared" si="1"/>
        <v>0.07819075049</v>
      </c>
    </row>
    <row r="32">
      <c r="A32" s="20">
        <v>15.0</v>
      </c>
      <c r="B32" s="20">
        <v>38.0</v>
      </c>
      <c r="C32" s="20">
        <v>276.68</v>
      </c>
      <c r="D32" s="20">
        <v>4.48</v>
      </c>
      <c r="E32" s="22">
        <f t="shared" si="1"/>
        <v>0.07819075049</v>
      </c>
    </row>
    <row r="33">
      <c r="A33" s="20">
        <v>15.5</v>
      </c>
      <c r="B33" s="20">
        <v>39.0</v>
      </c>
      <c r="C33" s="20">
        <v>276.68</v>
      </c>
      <c r="D33" s="20">
        <v>4.48</v>
      </c>
      <c r="E33" s="22">
        <f t="shared" si="1"/>
        <v>0.07819075049</v>
      </c>
    </row>
    <row r="34">
      <c r="A34" s="20">
        <v>16.0</v>
      </c>
      <c r="B34" s="20">
        <v>40.0</v>
      </c>
      <c r="C34" s="20">
        <v>276.68</v>
      </c>
      <c r="D34" s="20">
        <v>4.48</v>
      </c>
      <c r="E34" s="22">
        <f t="shared" si="1"/>
        <v>0.07819075049</v>
      </c>
    </row>
    <row r="35">
      <c r="A35" s="20">
        <v>16.5</v>
      </c>
      <c r="B35" s="20">
        <v>42.0</v>
      </c>
      <c r="C35" s="20">
        <v>276.68</v>
      </c>
      <c r="D35" s="20">
        <v>4.48</v>
      </c>
      <c r="E35" s="22">
        <f t="shared" si="1"/>
        <v>0.07819075049</v>
      </c>
    </row>
    <row r="36">
      <c r="A36" s="20">
        <v>17.0</v>
      </c>
      <c r="B36" s="20">
        <v>43.0</v>
      </c>
      <c r="C36" s="20">
        <v>276.77</v>
      </c>
      <c r="D36" s="20">
        <v>4.57</v>
      </c>
      <c r="E36" s="22">
        <f t="shared" si="1"/>
        <v>0.07976154682</v>
      </c>
    </row>
    <row r="37">
      <c r="A37" s="20">
        <v>17.5</v>
      </c>
      <c r="B37" s="20">
        <v>44.0</v>
      </c>
      <c r="C37" s="20">
        <v>276.77</v>
      </c>
      <c r="D37" s="20">
        <v>4.57</v>
      </c>
      <c r="E37" s="22">
        <f t="shared" si="1"/>
        <v>0.07976154682</v>
      </c>
    </row>
    <row r="38">
      <c r="A38" s="20">
        <v>18.0</v>
      </c>
      <c r="B38" s="20">
        <v>45.0</v>
      </c>
      <c r="C38" s="20">
        <v>288.02</v>
      </c>
      <c r="D38" s="20">
        <v>15.82</v>
      </c>
      <c r="E38" s="22">
        <f t="shared" si="1"/>
        <v>0.2761110877</v>
      </c>
    </row>
    <row r="39">
      <c r="A39" s="20">
        <v>18.5</v>
      </c>
      <c r="B39" s="20">
        <v>47.0</v>
      </c>
      <c r="C39" s="20">
        <v>288.19</v>
      </c>
      <c r="D39" s="20">
        <v>16.0</v>
      </c>
      <c r="E39" s="22">
        <f t="shared" si="1"/>
        <v>0.2792526803</v>
      </c>
    </row>
    <row r="40">
      <c r="A40" s="20">
        <v>19.0</v>
      </c>
      <c r="B40" s="20">
        <v>48.0</v>
      </c>
      <c r="C40" s="20">
        <v>288.9</v>
      </c>
      <c r="D40" s="20">
        <v>16.7</v>
      </c>
      <c r="E40" s="22">
        <f t="shared" si="1"/>
        <v>0.2914699851</v>
      </c>
    </row>
    <row r="41">
      <c r="A41" s="20">
        <v>19.5</v>
      </c>
      <c r="B41" s="20">
        <v>49.0</v>
      </c>
      <c r="C41" s="20">
        <v>289.16</v>
      </c>
      <c r="D41" s="20">
        <v>16.96</v>
      </c>
      <c r="E41" s="22">
        <f t="shared" si="1"/>
        <v>0.2960078411</v>
      </c>
    </row>
    <row r="42">
      <c r="A42" s="20">
        <v>20.0</v>
      </c>
      <c r="B42" s="20">
        <v>51.0</v>
      </c>
      <c r="C42" s="20">
        <v>289.69</v>
      </c>
      <c r="D42" s="20">
        <v>17.49</v>
      </c>
      <c r="E42" s="22">
        <f t="shared" si="1"/>
        <v>0.3052580862</v>
      </c>
    </row>
    <row r="43">
      <c r="A43" s="20">
        <v>20.5</v>
      </c>
      <c r="B43" s="20">
        <v>52.0</v>
      </c>
      <c r="C43" s="20">
        <v>292.5</v>
      </c>
      <c r="D43" s="20">
        <v>20.3</v>
      </c>
      <c r="E43" s="22">
        <f t="shared" si="1"/>
        <v>0.3543018382</v>
      </c>
    </row>
    <row r="44">
      <c r="A44" s="20">
        <v>21.0</v>
      </c>
      <c r="B44" s="20">
        <v>53.0</v>
      </c>
      <c r="C44" s="20">
        <v>293.47</v>
      </c>
      <c r="D44" s="20">
        <v>21.27</v>
      </c>
      <c r="E44" s="22">
        <f t="shared" si="1"/>
        <v>0.3712315319</v>
      </c>
    </row>
    <row r="45">
      <c r="A45" s="20">
        <v>21.5</v>
      </c>
      <c r="B45" s="20">
        <v>54.0</v>
      </c>
      <c r="C45" s="20">
        <v>294.26</v>
      </c>
      <c r="D45" s="20">
        <v>22.06</v>
      </c>
      <c r="E45" s="22">
        <f t="shared" si="1"/>
        <v>0.385019633</v>
      </c>
    </row>
    <row r="46">
      <c r="A46" s="20">
        <v>22.0</v>
      </c>
      <c r="B46" s="20">
        <v>56.0</v>
      </c>
      <c r="C46" s="20">
        <v>294.79</v>
      </c>
      <c r="D46" s="20">
        <v>22.59</v>
      </c>
      <c r="E46" s="22">
        <f t="shared" si="1"/>
        <v>0.394269878</v>
      </c>
    </row>
    <row r="47">
      <c r="A47" s="20">
        <v>22.5</v>
      </c>
      <c r="B47" s="20">
        <v>57.0</v>
      </c>
      <c r="C47" s="20">
        <v>297.16</v>
      </c>
      <c r="D47" s="20">
        <v>24.96</v>
      </c>
      <c r="E47" s="22">
        <f t="shared" si="1"/>
        <v>0.4356341813</v>
      </c>
    </row>
    <row r="48">
      <c r="A48" s="20">
        <v>23.0</v>
      </c>
      <c r="B48" s="20">
        <v>58.0</v>
      </c>
      <c r="C48" s="20">
        <v>297.25</v>
      </c>
      <c r="D48" s="20">
        <v>25.05</v>
      </c>
      <c r="E48" s="22">
        <f t="shared" si="1"/>
        <v>0.4372049776</v>
      </c>
    </row>
    <row r="49">
      <c r="A49" s="20">
        <v>23.5</v>
      </c>
      <c r="B49" s="20">
        <v>59.0</v>
      </c>
      <c r="C49" s="20">
        <v>297.33</v>
      </c>
      <c r="D49" s="20">
        <v>25.14</v>
      </c>
      <c r="E49" s="22">
        <f t="shared" si="1"/>
        <v>0.438775774</v>
      </c>
    </row>
    <row r="50">
      <c r="A50" s="20">
        <v>24.0</v>
      </c>
      <c r="B50" s="20">
        <v>61.0</v>
      </c>
      <c r="C50" s="20">
        <v>297.33</v>
      </c>
      <c r="D50" s="20">
        <v>25.14</v>
      </c>
      <c r="E50" s="22">
        <f t="shared" si="1"/>
        <v>0.438775774</v>
      </c>
    </row>
    <row r="51">
      <c r="A51" s="20">
        <v>24.5</v>
      </c>
      <c r="B51" s="20">
        <v>62.0</v>
      </c>
      <c r="C51" s="20">
        <v>297.33</v>
      </c>
      <c r="D51" s="20">
        <v>25.14</v>
      </c>
      <c r="E51" s="22">
        <f t="shared" si="1"/>
        <v>0.438775774</v>
      </c>
    </row>
    <row r="52">
      <c r="A52" s="20">
        <v>25.0</v>
      </c>
      <c r="B52" s="20">
        <v>63.0</v>
      </c>
      <c r="C52" s="20">
        <v>297.33</v>
      </c>
      <c r="D52" s="20">
        <v>25.14</v>
      </c>
      <c r="E52" s="22">
        <f t="shared" si="1"/>
        <v>0.438775774</v>
      </c>
    </row>
    <row r="53">
      <c r="A53" s="20">
        <v>25.5</v>
      </c>
      <c r="B53" s="20">
        <v>65.0</v>
      </c>
      <c r="C53" s="20">
        <v>297.42</v>
      </c>
      <c r="D53" s="20">
        <v>25.22</v>
      </c>
      <c r="E53" s="22">
        <f t="shared" si="1"/>
        <v>0.4401720374</v>
      </c>
    </row>
    <row r="54">
      <c r="A54" s="20">
        <v>26.0</v>
      </c>
      <c r="B54" s="20">
        <v>66.0</v>
      </c>
      <c r="C54" s="20">
        <v>302.26</v>
      </c>
      <c r="D54" s="20">
        <v>30.06</v>
      </c>
      <c r="E54" s="22">
        <f t="shared" si="1"/>
        <v>0.5246459731</v>
      </c>
    </row>
    <row r="55">
      <c r="A55" s="20">
        <v>26.5</v>
      </c>
      <c r="B55" s="20">
        <v>67.0</v>
      </c>
      <c r="C55" s="20">
        <v>302.43</v>
      </c>
      <c r="D55" s="20">
        <v>30.23</v>
      </c>
      <c r="E55" s="22">
        <f t="shared" si="1"/>
        <v>0.5276130329</v>
      </c>
    </row>
    <row r="56">
      <c r="A56" s="20">
        <v>27.0</v>
      </c>
      <c r="B56" s="20">
        <v>68.0</v>
      </c>
      <c r="C56" s="20">
        <v>302.87</v>
      </c>
      <c r="D56" s="20">
        <v>30.67</v>
      </c>
      <c r="E56" s="22">
        <f t="shared" si="1"/>
        <v>0.5352924816</v>
      </c>
    </row>
    <row r="57">
      <c r="A57" s="20">
        <v>27.5</v>
      </c>
      <c r="B57" s="20">
        <v>70.0</v>
      </c>
      <c r="C57" s="20">
        <v>304.89</v>
      </c>
      <c r="D57" s="20">
        <v>32.7</v>
      </c>
      <c r="E57" s="22">
        <f t="shared" si="1"/>
        <v>0.5707226654</v>
      </c>
    </row>
    <row r="58">
      <c r="A58" s="20">
        <v>28.0</v>
      </c>
      <c r="B58" s="20">
        <v>71.0</v>
      </c>
      <c r="C58" s="20">
        <v>309.64</v>
      </c>
      <c r="D58" s="20">
        <v>37.44</v>
      </c>
      <c r="E58" s="22">
        <f t="shared" si="1"/>
        <v>0.6534512719</v>
      </c>
    </row>
    <row r="59">
      <c r="A59" s="20">
        <v>28.5</v>
      </c>
      <c r="B59" s="20">
        <v>72.0</v>
      </c>
      <c r="C59" s="20">
        <v>309.9</v>
      </c>
      <c r="D59" s="20">
        <v>37.71</v>
      </c>
      <c r="E59" s="22">
        <f t="shared" si="1"/>
        <v>0.6581636609</v>
      </c>
    </row>
    <row r="60">
      <c r="A60" s="20">
        <v>29.0</v>
      </c>
      <c r="B60" s="20">
        <v>73.0</v>
      </c>
      <c r="C60" s="20">
        <v>310.52</v>
      </c>
      <c r="D60" s="20">
        <v>38.32</v>
      </c>
      <c r="E60" s="22">
        <f t="shared" si="1"/>
        <v>0.6688101694</v>
      </c>
    </row>
    <row r="61">
      <c r="A61" s="20">
        <v>29.5</v>
      </c>
      <c r="B61" s="20">
        <v>75.0</v>
      </c>
      <c r="C61" s="20">
        <v>313.07</v>
      </c>
      <c r="D61" s="20">
        <v>40.87</v>
      </c>
      <c r="E61" s="22">
        <f t="shared" si="1"/>
        <v>0.7133160653</v>
      </c>
    </row>
    <row r="62">
      <c r="A62" s="20">
        <v>30.0</v>
      </c>
      <c r="B62" s="20">
        <v>76.0</v>
      </c>
      <c r="C62" s="20">
        <v>315.26</v>
      </c>
      <c r="D62" s="20">
        <v>43.07</v>
      </c>
      <c r="E62" s="22">
        <f t="shared" si="1"/>
        <v>0.7517133088</v>
      </c>
    </row>
    <row r="63">
      <c r="A63" s="20">
        <v>30.5</v>
      </c>
      <c r="B63" s="20">
        <v>77.0</v>
      </c>
      <c r="C63" s="20">
        <v>315.35</v>
      </c>
      <c r="D63" s="20">
        <v>43.15</v>
      </c>
      <c r="E63" s="22">
        <f t="shared" si="1"/>
        <v>0.7531095722</v>
      </c>
    </row>
    <row r="64">
      <c r="A64" s="20">
        <v>31.0</v>
      </c>
      <c r="B64" s="20">
        <v>79.0</v>
      </c>
      <c r="C64" s="20">
        <v>317.11</v>
      </c>
      <c r="D64" s="20">
        <v>44.91</v>
      </c>
      <c r="E64" s="22">
        <f t="shared" si="1"/>
        <v>0.7838273671</v>
      </c>
    </row>
    <row r="65">
      <c r="A65" s="20">
        <v>31.5</v>
      </c>
      <c r="B65" s="20">
        <v>80.0</v>
      </c>
      <c r="C65" s="20">
        <v>319.75</v>
      </c>
      <c r="D65" s="20">
        <v>47.55</v>
      </c>
      <c r="E65" s="22">
        <f t="shared" si="1"/>
        <v>0.8299040593</v>
      </c>
    </row>
    <row r="66">
      <c r="A66" s="20">
        <v>32.0</v>
      </c>
      <c r="B66" s="20">
        <v>81.0</v>
      </c>
      <c r="C66" s="20">
        <v>320.63</v>
      </c>
      <c r="D66" s="20">
        <v>48.43</v>
      </c>
      <c r="E66" s="22">
        <f t="shared" si="1"/>
        <v>0.8452629567</v>
      </c>
    </row>
    <row r="67">
      <c r="A67" s="20">
        <v>32.5</v>
      </c>
      <c r="B67" s="20">
        <v>82.0</v>
      </c>
      <c r="C67" s="20">
        <v>321.68</v>
      </c>
      <c r="D67" s="20">
        <v>49.48</v>
      </c>
      <c r="E67" s="22">
        <f t="shared" si="1"/>
        <v>0.8635889139</v>
      </c>
    </row>
    <row r="68">
      <c r="A68" s="20">
        <v>33.0</v>
      </c>
      <c r="B68" s="20">
        <v>84.0</v>
      </c>
      <c r="C68" s="20">
        <v>324.4</v>
      </c>
      <c r="D68" s="20">
        <v>52.21</v>
      </c>
      <c r="E68" s="22">
        <f t="shared" si="1"/>
        <v>0.9112364025</v>
      </c>
    </row>
    <row r="69">
      <c r="A69" s="20">
        <v>33.5</v>
      </c>
      <c r="B69" s="20">
        <v>85.0</v>
      </c>
      <c r="C69" s="20">
        <v>327.83</v>
      </c>
      <c r="D69" s="20">
        <v>55.63</v>
      </c>
      <c r="E69" s="22">
        <f t="shared" si="1"/>
        <v>0.9709266629</v>
      </c>
    </row>
    <row r="70">
      <c r="A70" s="20">
        <v>34.0</v>
      </c>
      <c r="B70" s="20">
        <v>86.0</v>
      </c>
      <c r="C70" s="20">
        <v>327.92</v>
      </c>
      <c r="D70" s="20">
        <v>55.72</v>
      </c>
      <c r="E70" s="22">
        <f t="shared" si="1"/>
        <v>0.9724974592</v>
      </c>
    </row>
    <row r="71">
      <c r="A71" s="20">
        <v>34.5</v>
      </c>
      <c r="B71" s="20">
        <v>87.0</v>
      </c>
      <c r="C71" s="20">
        <v>328.8</v>
      </c>
      <c r="D71" s="20">
        <v>56.6</v>
      </c>
      <c r="E71" s="22">
        <f t="shared" si="1"/>
        <v>0.9878563566</v>
      </c>
    </row>
    <row r="72">
      <c r="A72" s="20">
        <v>35.0</v>
      </c>
      <c r="B72" s="20">
        <v>89.0</v>
      </c>
      <c r="C72" s="20">
        <v>331.44</v>
      </c>
      <c r="D72" s="20">
        <v>59.24</v>
      </c>
      <c r="E72" s="22">
        <f t="shared" si="1"/>
        <v>1.033933049</v>
      </c>
    </row>
    <row r="73">
      <c r="A73" s="20">
        <v>35.5</v>
      </c>
      <c r="B73" s="20">
        <v>90.0</v>
      </c>
      <c r="C73" s="20">
        <v>335.04</v>
      </c>
      <c r="D73" s="20">
        <v>62.84</v>
      </c>
      <c r="E73" s="22">
        <f t="shared" si="1"/>
        <v>1.096764902</v>
      </c>
    </row>
    <row r="74">
      <c r="A74" s="20">
        <v>36.0</v>
      </c>
      <c r="B74" s="20">
        <v>91.0</v>
      </c>
      <c r="C74" s="20">
        <v>337.24</v>
      </c>
      <c r="D74" s="20">
        <v>65.04</v>
      </c>
      <c r="E74" s="22">
        <f t="shared" si="1"/>
        <v>1.135162145</v>
      </c>
    </row>
    <row r="75">
      <c r="A75" s="20">
        <v>36.5</v>
      </c>
      <c r="B75" s="20">
        <v>93.0</v>
      </c>
      <c r="C75" s="20">
        <v>337.94</v>
      </c>
      <c r="D75" s="20">
        <v>65.74</v>
      </c>
      <c r="E75" s="22">
        <f t="shared" si="1"/>
        <v>1.14737945</v>
      </c>
    </row>
    <row r="76">
      <c r="A76" s="20">
        <v>37.0</v>
      </c>
      <c r="B76" s="20">
        <v>94.0</v>
      </c>
      <c r="C76" s="20">
        <v>340.66</v>
      </c>
      <c r="D76" s="20">
        <v>68.47</v>
      </c>
      <c r="E76" s="22">
        <f t="shared" si="1"/>
        <v>1.195026939</v>
      </c>
    </row>
    <row r="77">
      <c r="A77" s="20">
        <v>37.5</v>
      </c>
      <c r="B77" s="20">
        <v>95.0</v>
      </c>
      <c r="C77" s="20">
        <v>343.39</v>
      </c>
      <c r="D77" s="20">
        <v>71.19</v>
      </c>
      <c r="E77" s="22">
        <f t="shared" si="1"/>
        <v>1.242499894</v>
      </c>
    </row>
    <row r="78">
      <c r="A78" s="20">
        <v>38.0</v>
      </c>
      <c r="B78" s="20">
        <v>96.0</v>
      </c>
      <c r="C78" s="20">
        <v>353.5</v>
      </c>
      <c r="D78" s="20">
        <v>81.3</v>
      </c>
      <c r="E78" s="22">
        <f t="shared" si="1"/>
        <v>1.418952682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375</v>
      </c>
    </row>
  </sheetData>
  <drawing r:id="rId1"/>
</worksheet>
</file>